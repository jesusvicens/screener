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3.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1" activeTab="1" autoFilterDateGrouping="1"/>
  </bookViews>
  <sheets>
    <sheet xmlns:r="http://schemas.openxmlformats.org/officeDocument/2006/relationships" name="Examen" sheetId="1" state="visible" r:id="rId1"/>
    <sheet xmlns:r="http://schemas.openxmlformats.org/officeDocument/2006/relationships" name="Modelo EPS" sheetId="2" state="visible" r:id="rId2"/>
    <sheet xmlns:r="http://schemas.openxmlformats.org/officeDocument/2006/relationships" name="Escenarios" sheetId="3" state="visible" r:id="rId3"/>
    <sheet xmlns:r="http://schemas.openxmlformats.org/officeDocument/2006/relationships" name="PyG" sheetId="4" state="visible" r:id="rId4"/>
    <sheet xmlns:r="http://schemas.openxmlformats.org/officeDocument/2006/relationships" name="Balance" sheetId="5" state="visible" r:id="rId5"/>
    <sheet xmlns:r="http://schemas.openxmlformats.org/officeDocument/2006/relationships" name="Cash Flow" sheetId="6" state="visible" r:id="rId6"/>
    <sheet xmlns:r="http://schemas.openxmlformats.org/officeDocument/2006/relationships" name="Proy. Optimista" sheetId="7" state="visible" r:id="rId7"/>
    <sheet xmlns:r="http://schemas.openxmlformats.org/officeDocument/2006/relationships" name="Proy. Base" sheetId="8" state="visible" r:id="rId8"/>
    <sheet xmlns:r="http://schemas.openxmlformats.org/officeDocument/2006/relationships" name="Proy. Adverso" sheetId="9" state="visible" r:id="rId9"/>
    <sheet xmlns:r="http://schemas.openxmlformats.org/officeDocument/2006/relationships" name="Listas" sheetId="10" state="hidden" r:id="rId10"/>
    <sheet xmlns:r="http://schemas.openxmlformats.org/officeDocument/2006/relationships" name="Proy. Desastre" sheetId="11" state="visible" r:id="rId11"/>
    <sheet xmlns:r="http://schemas.openxmlformats.org/officeDocument/2006/relationships" name="ROIC" sheetId="12" state="visible" r:id="rId12"/>
  </sheets>
  <definedNames>
    <definedName name="_xlnm.Print_Area" localSheetId="0">'Examen'!$A$1:$H$60</definedName>
  </definedNames>
  <calcPr calcId="191029" fullCalcOnLoad="1" iterateDelta="0.0001"/>
</workbook>
</file>

<file path=xl/styles.xml><?xml version="1.0" encoding="utf-8"?>
<styleSheet xmlns="http://schemas.openxmlformats.org/spreadsheetml/2006/main">
  <numFmts count="20">
    <numFmt numFmtId="164" formatCode="#,##0&quot; €&quot;"/>
    <numFmt numFmtId="165" formatCode="0.000"/>
    <numFmt numFmtId="166" formatCode="#,##0.00&quot; €&quot;"/>
    <numFmt numFmtId="167" formatCode="_-* #,##0.00\ _€_-;\-* #,##0.00\ _€_-;_-* \-??\ _€_-;_-@"/>
    <numFmt numFmtId="168" formatCode="0.0%"/>
    <numFmt numFmtId="169" formatCode="_-* #,##0\ _€_-;\-* #,##0\ _€_-;_-* \-??\ _€_-;_-@"/>
    <numFmt numFmtId="170" formatCode="#,##0.00;\(#,##0.00\);\-"/>
    <numFmt numFmtId="171" formatCode="0.0\x"/>
    <numFmt numFmtId="172" formatCode="#,##0;\(#,##0\);\-"/>
    <numFmt numFmtId="173" formatCode="0.00\x"/>
    <numFmt numFmtId="174" formatCode="#,##0.0"/>
    <numFmt numFmtId="175" formatCode="m/d/yyyy"/>
    <numFmt numFmtId="176" formatCode="_-* #,##0.00\ _€_-;\-* #,##0.00\ _€_-;_-* \-??\ _€_-;_-@_-"/>
    <numFmt numFmtId="177" formatCode="0\ &quot;años&quot;"/>
    <numFmt numFmtId="178" formatCode="[$$-409]#,##0"/>
    <numFmt numFmtId="179" formatCode="0.0%;[Red]\-0.0%"/>
    <numFmt numFmtId="180" formatCode="0.00&quot;x&quot;"/>
    <numFmt numFmtId="181" formatCode="0.000%"/>
    <numFmt numFmtId="182" formatCode="0.0&quot;x&quot;"/>
    <numFmt numFmtId="183" formatCode="0.0"/>
  </numFmts>
  <fonts count="50">
    <font>
      <name val="Aptos Narrow"/>
      <charset val="1"/>
      <family val="2"/>
      <color theme="1"/>
      <sz val="11"/>
    </font>
    <font>
      <name val="Arial"/>
      <charset val="1"/>
      <color theme="1"/>
      <sz val="11"/>
    </font>
    <font>
      <name val="Arial"/>
      <charset val="1"/>
      <family val="2"/>
      <color theme="1"/>
      <sz val="11"/>
    </font>
    <font>
      <name val="Aptos Narrow"/>
      <charset val="1"/>
      <family val="2"/>
      <sz val="11"/>
    </font>
    <font>
      <name val="Aptos Narrow"/>
      <charset val="1"/>
      <family val="2"/>
      <b val="1"/>
      <color theme="1"/>
      <sz val="11"/>
    </font>
    <font>
      <name val="Aptos Narrow"/>
      <charset val="1"/>
      <family val="2"/>
      <b val="1"/>
      <color theme="0"/>
      <sz val="11"/>
    </font>
    <font>
      <name val="Calibri"/>
      <charset val="1"/>
      <family val="2"/>
      <color theme="1"/>
      <sz val="11"/>
    </font>
    <font>
      <name val="Calibri"/>
      <charset val="1"/>
      <family val="2"/>
      <color theme="1"/>
      <sz val="11"/>
      <u val="single"/>
    </font>
    <font>
      <name val="Calibri"/>
      <charset val="1"/>
      <family val="2"/>
      <b val="1"/>
      <color theme="1"/>
      <sz val="11"/>
    </font>
    <font>
      <name val="Calibri"/>
      <charset val="1"/>
      <family val="2"/>
      <sz val="11"/>
    </font>
    <font>
      <name val="Calibri"/>
      <charset val="1"/>
      <color rgb="FF0000FF"/>
      <sz val="11"/>
    </font>
    <font>
      <name val="Calibri"/>
      <charset val="1"/>
      <family val="2"/>
      <b val="1"/>
      <sz val="11"/>
    </font>
    <font>
      <name val="Roboto"/>
      <charset val="1"/>
      <sz val="11"/>
    </font>
    <font>
      <name val="Calibri"/>
      <charset val="1"/>
      <family val="2"/>
      <color rgb="FFFF0000"/>
      <sz val="11"/>
    </font>
    <font>
      <name val="Arial"/>
      <charset val="1"/>
      <family val="2"/>
      <b val="1"/>
      <color theme="1"/>
      <sz val="11"/>
    </font>
    <font>
      <name val="Arial"/>
      <family val="2"/>
      <sz val="10"/>
    </font>
    <font>
      <name val="Calibri"/>
      <charset val="1"/>
      <b val="1"/>
      <sz val="14"/>
    </font>
    <font>
      <name val="Calibri"/>
      <charset val="1"/>
      <i val="1"/>
      <color rgb="FF595959"/>
      <sz val="10"/>
    </font>
    <font>
      <name val="Calibri"/>
      <charset val="1"/>
      <b val="1"/>
      <color rgb="FFFFFFFF"/>
      <sz val="12"/>
    </font>
    <font>
      <name val="Calibri"/>
      <charset val="1"/>
      <sz val="11"/>
    </font>
    <font>
      <name val="Calibri"/>
      <charset val="1"/>
      <color rgb="FF008000"/>
      <sz val="11"/>
    </font>
    <font>
      <name val="Calibri"/>
      <charset val="1"/>
      <b val="1"/>
      <color rgb="FF0000FF"/>
      <sz val="11"/>
    </font>
    <font>
      <name val="Calibri"/>
      <charset val="1"/>
      <b val="1"/>
      <sz val="11"/>
    </font>
    <font>
      <name val="Calibri"/>
      <charset val="1"/>
      <b val="1"/>
      <color rgb="FF008000"/>
      <sz val="11"/>
    </font>
    <font>
      <name val="Calibri"/>
      <charset val="1"/>
      <b val="1"/>
      <color theme="1"/>
      <sz val="11"/>
    </font>
    <font>
      <name val="Aptos Narrow"/>
      <charset val="1"/>
      <family val="2"/>
      <color theme="1"/>
      <sz val="11"/>
    </font>
    <font>
      <name val="Arial"/>
      <charset val="1"/>
      <family val="2"/>
      <b val="1"/>
      <color rgb="FFFFFFFF"/>
      <sz val="11"/>
    </font>
    <font>
      <name val="Calibri"/>
      <charset val="1"/>
      <b val="1"/>
      <color rgb="FFFFFFFF"/>
      <sz val="11"/>
    </font>
    <font>
      <name val="Calibri"/>
      <b val="1"/>
      <color theme="1"/>
      <sz val="14"/>
    </font>
    <font>
      <name val="Calibri"/>
      <color theme="1"/>
      <sz val="11"/>
    </font>
    <font>
      <name val="Calibri"/>
      <i val="1"/>
      <color rgb="FF595959"/>
      <sz val="10"/>
    </font>
    <font>
      <name val="Calibri"/>
      <b val="1"/>
      <color rgb="FFFFFFFF"/>
      <sz val="11"/>
    </font>
    <font>
      <name val="Calibri"/>
      <b val="1"/>
      <color theme="1"/>
      <sz val="11"/>
    </font>
    <font>
      <name val="Tahoma"/>
      <charset val="1"/>
      <b val="1"/>
      <color indexed="81"/>
      <sz val="9"/>
    </font>
    <font>
      <name val="Calibri"/>
      <color rgb="FF0000FF"/>
      <sz val="11"/>
    </font>
    <font>
      <name val="Calibri"/>
      <charset val="1"/>
      <i val="1"/>
      <sz val="10"/>
    </font>
    <font>
      <name val="Calibri"/>
      <charset val="1"/>
      <i val="1"/>
      <color rgb="FF404040"/>
      <sz val="10"/>
    </font>
    <font>
      <name val="Calibri"/>
      <charset val="1"/>
      <family val="2"/>
      <i val="1"/>
      <color rgb="FF595959"/>
      <sz val="9"/>
    </font>
    <font>
      <name val="Calibri"/>
      <charset val="1"/>
      <family val="2"/>
      <b val="1"/>
      <color theme="1"/>
      <sz val="12"/>
    </font>
    <font>
      <name val="Calibri"/>
      <color rgb="FF008000"/>
      <sz val="11"/>
    </font>
    <font>
      <name val="Calibri"/>
      <b val="1"/>
      <color rgb="FF008000"/>
      <sz val="11"/>
    </font>
    <font>
      <name val="Calibri"/>
      <family val="2"/>
      <sz val="11"/>
    </font>
    <font>
      <name val="Calibri"/>
      <family val="2"/>
      <b val="1"/>
      <color rgb="FF000000"/>
      <sz val="11"/>
    </font>
    <font>
      <name val="Calibri"/>
      <family val="2"/>
      <color rgb="FF000000"/>
      <sz val="11"/>
    </font>
    <font>
      <name val="Calibri"/>
      <family val="2"/>
      <b val="1"/>
      <color rgb="FF000000"/>
      <sz val="14"/>
    </font>
    <font>
      <name val="Calibri"/>
      <family val="2"/>
      <b val="1"/>
      <i val="1"/>
      <color rgb="FF595959"/>
      <sz val="11"/>
    </font>
    <font>
      <name val="Calibri"/>
      <family val="2"/>
      <b val="1"/>
      <color rgb="FFFFFFFF"/>
      <sz val="11"/>
    </font>
    <font>
      <name val="Calibri"/>
      <family val="2"/>
      <color rgb="FF008000"/>
      <sz val="11"/>
    </font>
    <font>
      <name val="Calibri"/>
      <family val="2"/>
      <color rgb="FF0000FF"/>
      <sz val="11"/>
    </font>
    <font>
      <name val="Calibri"/>
      <family val="2"/>
      <i val="1"/>
      <color rgb="FF000000"/>
      <sz val="11"/>
    </font>
  </fonts>
  <fills count="29">
    <fill>
      <patternFill/>
    </fill>
    <fill>
      <patternFill patternType="gray125"/>
    </fill>
    <fill>
      <patternFill patternType="solid">
        <fgColor theme="0"/>
        <bgColor rgb="FFFFF2CC"/>
      </patternFill>
    </fill>
    <fill>
      <patternFill patternType="solid">
        <fgColor theme="5" tint="0.7998901333658864"/>
        <bgColor rgb="FFFFF2CC"/>
      </patternFill>
    </fill>
    <fill>
      <patternFill patternType="solid">
        <fgColor rgb="FFFFFF99"/>
        <bgColor rgb="FFFFF2CC"/>
      </patternFill>
    </fill>
    <fill>
      <patternFill patternType="solid">
        <fgColor theme="5" tint="0.5998718222602009"/>
        <bgColor rgb="FFFFC7CE"/>
      </patternFill>
    </fill>
    <fill>
      <patternFill patternType="solid">
        <fgColor theme="9" tint="0.7998901333658864"/>
        <bgColor rgb="FFC6EFCE"/>
      </patternFill>
    </fill>
    <fill>
      <patternFill patternType="solid">
        <fgColor theme="8" tint="0.7998901333658864"/>
        <bgColor rgb="FFFFC7CE"/>
      </patternFill>
    </fill>
    <fill>
      <patternFill patternType="solid">
        <fgColor theme="3" tint="0.8998992889187292"/>
        <bgColor rgb="FFD9E1F2"/>
      </patternFill>
    </fill>
    <fill>
      <patternFill patternType="solid">
        <fgColor rgb="FFFFFF00"/>
        <bgColor rgb="FFFFFF00"/>
      </patternFill>
    </fill>
    <fill>
      <patternFill patternType="solid">
        <fgColor rgb="FF1F3864"/>
        <bgColor rgb="FF333333"/>
      </patternFill>
    </fill>
    <fill>
      <patternFill patternType="solid">
        <fgColor rgb="FFFFF2CC"/>
        <bgColor rgb="FFFBE3D6"/>
      </patternFill>
    </fill>
    <fill>
      <patternFill patternType="solid">
        <fgColor rgb="FFD9E1F2"/>
        <bgColor rgb="FFDCEAF7"/>
      </patternFill>
    </fill>
    <fill>
      <patternFill patternType="solid">
        <fgColor theme="4" tint="0.7998901333658864"/>
        <bgColor rgb="FFD9E1F2"/>
      </patternFill>
    </fill>
    <fill>
      <patternFill patternType="solid">
        <fgColor rgb="FF1F4E78"/>
        <bgColor indexed="64"/>
      </patternFill>
    </fill>
    <fill>
      <patternFill patternType="solid">
        <fgColor rgb="FFDDEBF7"/>
        <bgColor indexed="64"/>
      </patternFill>
    </fill>
    <fill>
      <patternFill patternType="solid">
        <fgColor theme="3" tint="0.749992370372631"/>
        <bgColor indexed="64"/>
      </patternFill>
    </fill>
    <fill>
      <patternFill patternType="solid">
        <fgColor theme="0"/>
        <bgColor indexed="64"/>
      </patternFill>
    </fill>
    <fill>
      <patternFill patternType="solid">
        <fgColor theme="0"/>
        <bgColor rgb="FF808000"/>
      </patternFill>
    </fill>
    <fill>
      <patternFill patternType="solid">
        <fgColor theme="0"/>
        <bgColor rgb="FFFFFF00"/>
      </patternFill>
    </fill>
    <fill>
      <patternFill patternType="solid">
        <fgColor rgb="FFD9E1F2"/>
        <bgColor indexed="64"/>
      </patternFill>
    </fill>
    <fill>
      <patternFill patternType="solid">
        <fgColor rgb="FFFFF2CC"/>
        <bgColor indexed="64"/>
      </patternFill>
    </fill>
    <fill>
      <patternFill patternType="solid">
        <fgColor theme="3" tint="0.8999908444471572"/>
        <bgColor indexed="64"/>
      </patternFill>
    </fill>
    <fill>
      <patternFill patternType="solid">
        <fgColor theme="9" tint="0.7999816888943144"/>
        <bgColor indexed="64"/>
      </patternFill>
    </fill>
    <fill>
      <patternFill patternType="solid">
        <fgColor theme="9" tint="0.7999816888943144"/>
        <bgColor rgb="FFFFF2CC"/>
      </patternFill>
    </fill>
    <fill>
      <patternFill patternType="solid">
        <fgColor theme="5" tint="0.7999816888943144"/>
        <bgColor indexed="64"/>
      </patternFill>
    </fill>
    <fill>
      <patternFill patternType="solid">
        <fgColor theme="5" tint="0.7999816888943144"/>
        <bgColor rgb="FFFFF2CC"/>
      </patternFill>
    </fill>
    <fill>
      <patternFill patternType="solid">
        <fgColor theme="5" tint="0.7999816888943144"/>
        <bgColor rgb="FFFFFF00"/>
      </patternFill>
    </fill>
    <fill>
      <patternFill patternType="solid">
        <fgColor rgb="FF1F3864"/>
        <bgColor indexed="64"/>
      </patternFill>
    </fill>
  </fills>
  <borders count="45">
    <border>
      <left/>
      <right/>
      <top/>
      <bottom/>
      <diagonal/>
    </border>
    <border>
      <left/>
      <right style="thin">
        <color auto="1"/>
      </right>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style="thin">
        <color auto="1"/>
      </right>
      <top style="medium">
        <color auto="1"/>
      </top>
      <bottom/>
      <diagonal/>
    </border>
    <border>
      <left/>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diagonal/>
    </border>
    <border>
      <left style="medium">
        <color auto="1"/>
      </left>
      <right style="medium">
        <color auto="1"/>
      </right>
      <top style="medium">
        <color auto="1"/>
      </top>
      <bottom style="thin">
        <color auto="1"/>
      </bottom>
      <diagonal/>
    </border>
    <border>
      <left style="thin">
        <color auto="1"/>
      </left>
      <right style="thin">
        <color auto="1"/>
      </right>
      <top style="thin">
        <color auto="1"/>
      </top>
      <bottom style="double">
        <color auto="1"/>
      </bottom>
      <diagonal/>
    </border>
    <border>
      <left style="medium">
        <color auto="1"/>
      </left>
      <right style="medium">
        <color auto="1"/>
      </right>
      <top style="medium">
        <color auto="1"/>
      </top>
      <bottom style="double">
        <color auto="1"/>
      </bottom>
      <diagonal/>
    </border>
    <border>
      <left/>
      <right/>
      <top/>
      <bottom style="thin">
        <color auto="1"/>
      </bottom>
      <diagonal/>
    </border>
    <border>
      <left/>
      <right/>
      <top/>
      <bottom style="medium">
        <color auto="1"/>
      </bottom>
      <diagonal/>
    </border>
    <border>
      <left/>
      <right/>
      <top/>
      <bottom style="double">
        <color auto="1"/>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right style="thin">
        <color rgb="FFA6A6A6"/>
      </right>
      <top style="thin">
        <color rgb="FFA6A6A6"/>
      </top>
      <bottom style="thin">
        <color rgb="FFA6A6A6"/>
      </bottom>
      <diagonal/>
    </border>
    <border>
      <left style="thin">
        <color auto="1"/>
      </left>
      <right/>
      <top/>
      <bottom/>
      <diagonal/>
    </border>
    <border>
      <left style="thin">
        <color auto="1"/>
      </left>
      <right style="thin">
        <color auto="1"/>
      </right>
      <top/>
      <bottom/>
      <diagonal/>
    </border>
    <border>
      <left/>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medium">
        <color auto="1"/>
      </left>
      <right/>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right/>
      <top style="thin">
        <color rgb="FFA6A6A6"/>
      </top>
      <bottom/>
      <diagonal/>
    </border>
    <border>
      <left/>
      <right style="thin">
        <color rgb="FFA6A6A6"/>
      </right>
      <top style="thin">
        <color rgb="FFA6A6A6"/>
      </top>
      <bottom/>
      <diagonal/>
    </border>
  </borders>
  <cellStyleXfs count="5">
    <xf numFmtId="0" fontId="25" fillId="0" borderId="0"/>
    <xf numFmtId="9" fontId="25" fillId="0" borderId="0"/>
    <xf numFmtId="176" fontId="25" fillId="0" borderId="0"/>
    <xf numFmtId="0" fontId="1" fillId="0" borderId="0"/>
    <xf numFmtId="9" fontId="2" fillId="0" borderId="0"/>
  </cellStyleXfs>
  <cellXfs count="547">
    <xf numFmtId="0" fontId="0" fillId="0" borderId="0" pivotButton="0" quotePrefix="0" xfId="0"/>
    <xf numFmtId="0" fontId="4" fillId="2" borderId="0" applyAlignment="1" pivotButton="0" quotePrefix="0" xfId="0">
      <alignment horizontal="center" vertical="center" wrapText="1"/>
    </xf>
    <xf numFmtId="0" fontId="0" fillId="0" borderId="1" applyAlignment="1" pivotButton="0" quotePrefix="0" xfId="0">
      <alignment horizontal="center"/>
    </xf>
    <xf numFmtId="0" fontId="3" fillId="2" borderId="0" pivotButton="0" quotePrefix="0" xfId="0"/>
    <xf numFmtId="0" fontId="4" fillId="0" borderId="2" applyAlignment="1" pivotButton="0" quotePrefix="0" xfId="0">
      <alignment wrapText="1"/>
    </xf>
    <xf numFmtId="0" fontId="5" fillId="2" borderId="2" applyAlignment="1" pivotButton="0" quotePrefix="0" xfId="0">
      <alignment wrapText="1"/>
    </xf>
    <xf numFmtId="0" fontId="0" fillId="0" borderId="7" applyAlignment="1" pivotButton="0" quotePrefix="0" xfId="0">
      <alignment wrapText="1"/>
    </xf>
    <xf numFmtId="0" fontId="0" fillId="5" borderId="7" applyAlignment="1" applyProtection="1" pivotButton="0" quotePrefix="0" xfId="0">
      <alignment horizontal="left" vertical="center" wrapText="1"/>
      <protection locked="0" hidden="0"/>
    </xf>
    <xf numFmtId="0" fontId="3" fillId="4" borderId="4" applyAlignment="1" pivotButton="0" quotePrefix="0" xfId="0">
      <alignment horizontal="left" vertical="center" wrapText="1"/>
    </xf>
    <xf numFmtId="0" fontId="0" fillId="0" borderId="8" applyAlignment="1" pivotButton="0" quotePrefix="0" xfId="0">
      <alignment wrapText="1"/>
    </xf>
    <xf numFmtId="0" fontId="0" fillId="5" borderId="8" applyAlignment="1" applyProtection="1" pivotButton="0" quotePrefix="0" xfId="0">
      <alignment horizontal="left" vertical="center" wrapText="1"/>
      <protection locked="0" hidden="0"/>
    </xf>
    <xf numFmtId="0" fontId="3" fillId="4" borderId="9" applyAlignment="1" pivotButton="0" quotePrefix="0" xfId="0">
      <alignment horizontal="left" vertical="center" wrapText="1"/>
    </xf>
    <xf numFmtId="0" fontId="0" fillId="0" borderId="8" pivotButton="0" quotePrefix="0" xfId="0"/>
    <xf numFmtId="0" fontId="0" fillId="0" borderId="10" applyAlignment="1" pivotButton="0" quotePrefix="0" xfId="0">
      <alignment wrapText="1"/>
    </xf>
    <xf numFmtId="0" fontId="0" fillId="5" borderId="10" applyAlignment="1" applyProtection="1" pivotButton="0" quotePrefix="0" xfId="0">
      <alignment horizontal="left" vertical="center" wrapText="1"/>
      <protection locked="0" hidden="0"/>
    </xf>
    <xf numFmtId="0" fontId="3" fillId="4" borderId="11" applyAlignment="1" pivotButton="0" quotePrefix="0" xfId="0">
      <alignment horizontal="left" vertical="center" wrapText="1"/>
    </xf>
    <xf numFmtId="0" fontId="0" fillId="0" borderId="7" pivotButton="0" quotePrefix="0" xfId="0"/>
    <xf numFmtId="0" fontId="0" fillId="0" borderId="10" pivotButton="0" quotePrefix="0" xfId="0"/>
    <xf numFmtId="0" fontId="0" fillId="0" borderId="12" applyAlignment="1" pivotButton="0" quotePrefix="0" xfId="0">
      <alignment wrapText="1"/>
    </xf>
    <xf numFmtId="0" fontId="0" fillId="5" borderId="12" applyAlignment="1" applyProtection="1" pivotButton="0" quotePrefix="0" xfId="0">
      <alignment horizontal="left" vertical="center" wrapText="1"/>
      <protection locked="0" hidden="0"/>
    </xf>
    <xf numFmtId="0" fontId="3" fillId="4" borderId="13" applyAlignment="1" pivotButton="0" quotePrefix="0" xfId="0">
      <alignment horizontal="left" vertical="center" wrapText="1"/>
    </xf>
    <xf numFmtId="0" fontId="0" fillId="5" borderId="14" applyAlignment="1" applyProtection="1" pivotButton="0" quotePrefix="0" xfId="0">
      <alignment horizontal="left" vertical="center" wrapText="1"/>
      <protection locked="0" hidden="0"/>
    </xf>
    <xf numFmtId="0" fontId="0" fillId="6" borderId="7" applyAlignment="1" applyProtection="1" pivotButton="0" quotePrefix="0" xfId="0">
      <alignment horizontal="left" vertical="center" wrapText="1"/>
      <protection locked="0" hidden="0"/>
    </xf>
    <xf numFmtId="0" fontId="0" fillId="6" borderId="8" applyAlignment="1" applyProtection="1" pivotButton="0" quotePrefix="0" xfId="0">
      <alignment horizontal="left" vertical="center" wrapText="1"/>
      <protection locked="0" hidden="0"/>
    </xf>
    <xf numFmtId="0" fontId="0" fillId="6" borderId="10" applyAlignment="1" applyProtection="1" pivotButton="0" quotePrefix="0" xfId="0">
      <alignment horizontal="left" vertical="center" wrapText="1"/>
      <protection locked="0" hidden="0"/>
    </xf>
    <xf numFmtId="0" fontId="0" fillId="7" borderId="7" applyAlignment="1" applyProtection="1" pivotButton="0" quotePrefix="0" xfId="0">
      <alignment horizontal="left" vertical="center" wrapText="1"/>
      <protection locked="0" hidden="0"/>
    </xf>
    <xf numFmtId="0" fontId="0" fillId="7" borderId="8" applyAlignment="1" applyProtection="1" pivotButton="0" quotePrefix="0" xfId="0">
      <alignment horizontal="left" vertical="center" wrapText="1"/>
      <protection locked="0" hidden="0"/>
    </xf>
    <xf numFmtId="0" fontId="0" fillId="7" borderId="10" applyAlignment="1" applyProtection="1" pivotButton="0" quotePrefix="0" xfId="0">
      <alignment horizontal="left" vertical="center" wrapText="1"/>
      <protection locked="0" hidden="0"/>
    </xf>
    <xf numFmtId="164" fontId="0" fillId="8" borderId="7" applyAlignment="1" applyProtection="1" pivotButton="0" quotePrefix="0" xfId="0">
      <alignment horizontal="left" vertical="center" wrapText="1"/>
      <protection locked="0" hidden="0"/>
    </xf>
    <xf numFmtId="0" fontId="0" fillId="8" borderId="8" applyAlignment="1" applyProtection="1" pivotButton="0" quotePrefix="0" xfId="0">
      <alignment horizontal="left" vertical="center" wrapText="1"/>
      <protection locked="0" hidden="0"/>
    </xf>
    <xf numFmtId="164" fontId="0" fillId="8" borderId="8" applyAlignment="1" applyProtection="1" pivotButton="0" quotePrefix="0" xfId="0">
      <alignment horizontal="left" vertical="center" wrapText="1"/>
      <protection locked="0" hidden="0"/>
    </xf>
    <xf numFmtId="0" fontId="0" fillId="8" borderId="8" pivotButton="0" quotePrefix="0" xfId="0"/>
    <xf numFmtId="0" fontId="0" fillId="0" borderId="12" pivotButton="0" quotePrefix="0" xfId="0"/>
    <xf numFmtId="0" fontId="0" fillId="8" borderId="12" applyAlignment="1" applyProtection="1" pivotButton="0" quotePrefix="0" xfId="0">
      <alignment horizontal="left" vertical="center" wrapText="1"/>
      <protection locked="0" hidden="0"/>
    </xf>
    <xf numFmtId="0" fontId="4" fillId="2" borderId="0" applyAlignment="1" pivotButton="0" quotePrefix="0" xfId="0">
      <alignment vertical="center" wrapText="1"/>
    </xf>
    <xf numFmtId="0" fontId="0" fillId="2" borderId="0" applyAlignment="1" pivotButton="0" quotePrefix="0" xfId="0">
      <alignment wrapText="1"/>
    </xf>
    <xf numFmtId="0" fontId="0" fillId="2" borderId="0" applyAlignment="1" applyProtection="1" pivotButton="0" quotePrefix="0" xfId="0">
      <alignment horizontal="left" vertical="center" wrapText="1"/>
      <protection locked="0" hidden="0"/>
    </xf>
    <xf numFmtId="0" fontId="3" fillId="2" borderId="0" applyAlignment="1" pivotButton="0" quotePrefix="0" xfId="0">
      <alignment horizontal="left" vertical="center" wrapText="1"/>
    </xf>
    <xf numFmtId="0" fontId="0" fillId="2" borderId="0" pivotButton="0" quotePrefix="0" xfId="0"/>
    <xf numFmtId="164" fontId="0" fillId="2" borderId="0" applyAlignment="1" applyProtection="1" pivotButton="0" quotePrefix="0" xfId="0">
      <alignment horizontal="left" vertical="center" wrapText="1"/>
      <protection locked="0" hidden="0"/>
    </xf>
    <xf numFmtId="9" fontId="25" fillId="2" borderId="0" applyAlignment="1" pivotButton="0" quotePrefix="0" xfId="1">
      <alignment horizontal="left" vertical="center" wrapText="1"/>
    </xf>
    <xf numFmtId="0" fontId="0" fillId="2" borderId="0" applyAlignment="1" pivotButton="0" quotePrefix="0" xfId="0">
      <alignment horizontal="left" vertical="center" wrapText="1"/>
    </xf>
    <xf numFmtId="0" fontId="0" fillId="2" borderId="0" applyAlignment="1" pivotButton="0" quotePrefix="0" xfId="0">
      <alignment vertical="center" wrapText="1"/>
    </xf>
    <xf numFmtId="164" fontId="0" fillId="2" borderId="0" applyAlignment="1" pivotButton="0" quotePrefix="0" xfId="0">
      <alignment horizontal="left" vertical="center" wrapText="1"/>
    </xf>
    <xf numFmtId="9" fontId="0" fillId="2" borderId="0" applyAlignment="1" pivotButton="0" quotePrefix="0" xfId="0">
      <alignment horizontal="left" vertical="center" wrapText="1"/>
    </xf>
    <xf numFmtId="165" fontId="0" fillId="2" borderId="0" applyAlignment="1" pivotButton="0" quotePrefix="0" xfId="0">
      <alignment horizontal="left"/>
    </xf>
    <xf numFmtId="10" fontId="4" fillId="2" borderId="0" applyAlignment="1" pivotButton="0" quotePrefix="0" xfId="0">
      <alignment horizontal="left"/>
    </xf>
    <xf numFmtId="10" fontId="4" fillId="2" borderId="0" applyAlignment="1" pivotButton="0" quotePrefix="0" xfId="1">
      <alignment horizontal="left"/>
    </xf>
    <xf numFmtId="9" fontId="25" fillId="2" borderId="0" applyAlignment="1" applyProtection="1" pivotButton="0" quotePrefix="0" xfId="1">
      <alignment horizontal="left" vertical="center" wrapText="1"/>
      <protection locked="0" hidden="0"/>
    </xf>
    <xf numFmtId="10" fontId="25" fillId="2" borderId="0" applyAlignment="1" applyProtection="1" pivotButton="0" quotePrefix="0" xfId="1">
      <alignment horizontal="left" vertical="center" wrapText="1"/>
      <protection locked="0" hidden="0"/>
    </xf>
    <xf numFmtId="166" fontId="0" fillId="2" borderId="0" applyAlignment="1" pivotButton="0" quotePrefix="0" xfId="0">
      <alignment horizontal="left"/>
    </xf>
    <xf numFmtId="10" fontId="25" fillId="2" borderId="0" applyAlignment="1" pivotButton="0" quotePrefix="0" xfId="1">
      <alignment horizontal="left"/>
    </xf>
    <xf numFmtId="164" fontId="0" fillId="2" borderId="0" applyAlignment="1" pivotButton="0" quotePrefix="0" xfId="0">
      <alignment horizontal="left"/>
    </xf>
    <xf numFmtId="0" fontId="1" fillId="0" borderId="0" pivotButton="0" quotePrefix="0" xfId="3"/>
    <xf numFmtId="0" fontId="6" fillId="0" borderId="0" applyAlignment="1" pivotButton="0" quotePrefix="0" xfId="3">
      <alignment horizontal="center" vertical="center"/>
    </xf>
    <xf numFmtId="0" fontId="6" fillId="2" borderId="10" applyAlignment="1" pivotButton="0" quotePrefix="0" xfId="3">
      <alignment horizontal="center" vertical="center"/>
    </xf>
    <xf numFmtId="0" fontId="7" fillId="2" borderId="10" applyAlignment="1" pivotButton="0" quotePrefix="0" xfId="3">
      <alignment horizontal="center" vertical="center"/>
    </xf>
    <xf numFmtId="0" fontId="8" fillId="2" borderId="10" applyAlignment="1" pivotButton="0" quotePrefix="0" xfId="3">
      <alignment horizontal="center" vertical="center"/>
    </xf>
    <xf numFmtId="0" fontId="9" fillId="2" borderId="8" applyAlignment="1" pivotButton="0" quotePrefix="0" xfId="3">
      <alignment horizontal="center" vertical="center"/>
    </xf>
    <xf numFmtId="2" fontId="10" fillId="0" borderId="8" applyAlignment="1" applyProtection="1" pivotButton="0" quotePrefix="0" xfId="3">
      <alignment horizontal="center" vertical="center"/>
      <protection locked="0" hidden="0"/>
    </xf>
    <xf numFmtId="9" fontId="11" fillId="2" borderId="8" applyAlignment="1" pivotButton="0" quotePrefix="0" xfId="4">
      <alignment horizontal="center" vertical="center"/>
    </xf>
    <xf numFmtId="2" fontId="9" fillId="2" borderId="8" applyAlignment="1" pivotButton="0" quotePrefix="0" xfId="3">
      <alignment horizontal="center" vertical="center"/>
    </xf>
    <xf numFmtId="10" fontId="9" fillId="2" borderId="8" applyAlignment="1" pivotButton="0" quotePrefix="0" xfId="3">
      <alignment horizontal="center" vertical="center"/>
    </xf>
    <xf numFmtId="167" fontId="9" fillId="2" borderId="8" applyAlignment="1" pivotButton="0" quotePrefix="0" xfId="3">
      <alignment horizontal="center" vertical="center"/>
    </xf>
    <xf numFmtId="9" fontId="9" fillId="2" borderId="8" applyAlignment="1" pivotButton="0" quotePrefix="0" xfId="3">
      <alignment horizontal="center" vertical="center"/>
    </xf>
    <xf numFmtId="1" fontId="9" fillId="0" borderId="8" applyAlignment="1" pivotButton="0" quotePrefix="0" xfId="3">
      <alignment horizontal="center" vertical="center"/>
    </xf>
    <xf numFmtId="168" fontId="9" fillId="0" borderId="8" applyAlignment="1" pivotButton="0" quotePrefix="0" xfId="3">
      <alignment horizontal="center" vertical="center"/>
    </xf>
    <xf numFmtId="169" fontId="9" fillId="2" borderId="8" applyAlignment="1" pivotButton="0" quotePrefix="0" xfId="3">
      <alignment horizontal="center" vertical="center"/>
    </xf>
    <xf numFmtId="4" fontId="9" fillId="2" borderId="8" applyAlignment="1" pivotButton="0" quotePrefix="0" xfId="3">
      <alignment horizontal="center" vertical="center"/>
    </xf>
    <xf numFmtId="2" fontId="10" fillId="2" borderId="8" applyAlignment="1" applyProtection="1" pivotButton="0" quotePrefix="0" xfId="3">
      <alignment horizontal="center" vertical="center"/>
      <protection locked="0" hidden="0"/>
    </xf>
    <xf numFmtId="1" fontId="9" fillId="2" borderId="8" applyAlignment="1" pivotButton="0" quotePrefix="0" xfId="3">
      <alignment horizontal="center" vertical="center"/>
    </xf>
    <xf numFmtId="168" fontId="9" fillId="2" borderId="8" applyAlignment="1" pivotButton="0" quotePrefix="0" xfId="3">
      <alignment horizontal="center" vertical="center"/>
    </xf>
    <xf numFmtId="169" fontId="9" fillId="2" borderId="8" applyAlignment="1" pivotButton="0" quotePrefix="0" xfId="3">
      <alignment horizontal="center"/>
    </xf>
    <xf numFmtId="1" fontId="12" fillId="2" borderId="8" applyAlignment="1" pivotButton="0" quotePrefix="0" xfId="3">
      <alignment horizontal="center" vertical="center"/>
    </xf>
    <xf numFmtId="169" fontId="12" fillId="2" borderId="8" applyAlignment="1" pivotButton="0" quotePrefix="0" xfId="3">
      <alignment horizontal="center"/>
    </xf>
    <xf numFmtId="0" fontId="9" fillId="0" borderId="0" applyAlignment="1" pivotButton="0" quotePrefix="0" xfId="3">
      <alignment horizontal="center" vertical="center"/>
    </xf>
    <xf numFmtId="10" fontId="9" fillId="0" borderId="0" applyAlignment="1" pivotButton="0" quotePrefix="0" xfId="3">
      <alignment horizontal="center" vertical="center"/>
    </xf>
    <xf numFmtId="9" fontId="9" fillId="0" borderId="0" applyAlignment="1" pivotButton="0" quotePrefix="0" xfId="3">
      <alignment horizontal="center" vertical="center"/>
    </xf>
    <xf numFmtId="169" fontId="9" fillId="0" borderId="0" applyAlignment="1" pivotButton="0" quotePrefix="0" xfId="3">
      <alignment horizontal="center" vertical="center"/>
    </xf>
    <xf numFmtId="0" fontId="6" fillId="0" borderId="0" applyAlignment="1" pivotButton="0" quotePrefix="0" xfId="3">
      <alignment horizontal="center"/>
    </xf>
    <xf numFmtId="0" fontId="6" fillId="2" borderId="0" applyAlignment="1" pivotButton="0" quotePrefix="0" xfId="3">
      <alignment horizontal="center"/>
    </xf>
    <xf numFmtId="167" fontId="6" fillId="2" borderId="0" applyAlignment="1" pivotButton="0" quotePrefix="0" xfId="3">
      <alignment horizontal="center"/>
    </xf>
    <xf numFmtId="0" fontId="8" fillId="0" borderId="10" applyAlignment="1" pivotButton="0" quotePrefix="0" xfId="3">
      <alignment horizontal="center" vertical="center"/>
    </xf>
    <xf numFmtId="0" fontId="8" fillId="0" borderId="17" applyAlignment="1" pivotButton="0" quotePrefix="0" xfId="3">
      <alignment horizontal="center" vertical="center"/>
    </xf>
    <xf numFmtId="9" fontId="13" fillId="2" borderId="0" applyAlignment="1" pivotButton="0" quotePrefix="0" xfId="3">
      <alignment horizontal="center" vertical="center"/>
    </xf>
    <xf numFmtId="9" fontId="13" fillId="2" borderId="0" applyAlignment="1" pivotButton="0" quotePrefix="0" xfId="3">
      <alignment horizontal="center"/>
    </xf>
    <xf numFmtId="0" fontId="1" fillId="2" borderId="0" applyAlignment="1" pivotButton="0" quotePrefix="0" xfId="3">
      <alignment horizontal="center" vertical="center"/>
    </xf>
    <xf numFmtId="0" fontId="1" fillId="2" borderId="0" pivotButton="0" quotePrefix="0" xfId="3"/>
    <xf numFmtId="0" fontId="6" fillId="2" borderId="0" applyAlignment="1" pivotButton="0" quotePrefix="0" xfId="3">
      <alignment horizontal="center" vertical="center"/>
    </xf>
    <xf numFmtId="0" fontId="7" fillId="2" borderId="0" applyAlignment="1" pivotButton="0" quotePrefix="0" xfId="3">
      <alignment horizontal="center" vertical="center"/>
    </xf>
    <xf numFmtId="0" fontId="6" fillId="0" borderId="8" applyAlignment="1" applyProtection="1" pivotButton="0" quotePrefix="0" xfId="3">
      <alignment horizontal="center" vertical="center"/>
      <protection locked="0" hidden="0"/>
    </xf>
    <xf numFmtId="167" fontId="10" fillId="2" borderId="18" applyAlignment="1" applyProtection="1" pivotButton="0" quotePrefix="0" xfId="3">
      <alignment horizontal="center" vertical="center"/>
      <protection locked="0" hidden="0"/>
    </xf>
    <xf numFmtId="9" fontId="6" fillId="2" borderId="8" applyAlignment="1" pivotButton="0" quotePrefix="0" xfId="1">
      <alignment horizontal="center" vertical="center"/>
    </xf>
    <xf numFmtId="9" fontId="6" fillId="2" borderId="0" applyAlignment="1" pivotButton="0" quotePrefix="0" xfId="3">
      <alignment horizontal="center" vertical="center"/>
    </xf>
    <xf numFmtId="9" fontId="6" fillId="2" borderId="0" applyAlignment="1" pivotButton="0" quotePrefix="0" xfId="3">
      <alignment horizontal="center"/>
    </xf>
    <xf numFmtId="2" fontId="1" fillId="2" borderId="0" applyAlignment="1" pivotButton="0" quotePrefix="0" xfId="3">
      <alignment horizontal="center" vertical="center"/>
    </xf>
    <xf numFmtId="3" fontId="6" fillId="2" borderId="0" applyAlignment="1" pivotButton="0" quotePrefix="0" xfId="3">
      <alignment horizontal="center" vertical="center"/>
    </xf>
    <xf numFmtId="0" fontId="6" fillId="0" borderId="0" applyAlignment="1" applyProtection="1" pivotButton="0" quotePrefix="0" xfId="3">
      <alignment horizontal="center" vertical="center"/>
      <protection locked="0" hidden="0"/>
    </xf>
    <xf numFmtId="0" fontId="6" fillId="2" borderId="0" applyAlignment="1" applyProtection="1" pivotButton="0" quotePrefix="0" xfId="3">
      <alignment horizontal="center" vertical="center"/>
      <protection locked="0" hidden="0"/>
    </xf>
    <xf numFmtId="167" fontId="6" fillId="2" borderId="0" applyAlignment="1" applyProtection="1" pivotButton="0" quotePrefix="0" xfId="3">
      <alignment horizontal="center" vertical="center"/>
      <protection locked="0" hidden="0"/>
    </xf>
    <xf numFmtId="9" fontId="6" fillId="2" borderId="0" applyAlignment="1" pivotButton="0" quotePrefix="0" xfId="1">
      <alignment horizontal="center" vertical="center"/>
    </xf>
    <xf numFmtId="167" fontId="6" fillId="2" borderId="0" applyAlignment="1" pivotButton="0" quotePrefix="0" xfId="3">
      <alignment horizontal="center" vertical="center"/>
    </xf>
    <xf numFmtId="3" fontId="1" fillId="2" borderId="0" applyAlignment="1" pivotButton="0" quotePrefix="0" xfId="3">
      <alignment horizontal="center" vertical="center"/>
    </xf>
    <xf numFmtId="4" fontId="6" fillId="2" borderId="0" pivotButton="0" quotePrefix="0" xfId="3"/>
    <xf numFmtId="0" fontId="6" fillId="0" borderId="0" pivotButton="0" quotePrefix="0" xfId="3"/>
    <xf numFmtId="4" fontId="6" fillId="0" borderId="0" pivotButton="0" quotePrefix="0" xfId="3"/>
    <xf numFmtId="0" fontId="14" fillId="0" borderId="0" applyAlignment="1" pivotButton="0" quotePrefix="0" xfId="3">
      <alignment horizontal="center" vertical="center"/>
    </xf>
    <xf numFmtId="0" fontId="16" fillId="0" borderId="0" pivotButton="0" quotePrefix="0" xfId="0"/>
    <xf numFmtId="0" fontId="17" fillId="0" borderId="0" pivotButton="0" quotePrefix="0" xfId="0"/>
    <xf numFmtId="0" fontId="18" fillId="10" borderId="0" pivotButton="0" quotePrefix="0" xfId="0"/>
    <xf numFmtId="0" fontId="0" fillId="10" borderId="0" pivotButton="0" quotePrefix="0" xfId="0"/>
    <xf numFmtId="0" fontId="19" fillId="0" borderId="0" pivotButton="0" quotePrefix="0" xfId="0"/>
    <xf numFmtId="170" fontId="20" fillId="0" borderId="0" pivotButton="0" quotePrefix="0" xfId="0"/>
    <xf numFmtId="0" fontId="10" fillId="0" borderId="0" pivotButton="0" quotePrefix="0" xfId="0"/>
    <xf numFmtId="168" fontId="21" fillId="11" borderId="0" pivotButton="0" quotePrefix="0" xfId="0"/>
    <xf numFmtId="1" fontId="21" fillId="11" borderId="0" pivotButton="0" quotePrefix="0" xfId="0"/>
    <xf numFmtId="168" fontId="10" fillId="0" borderId="0" pivotButton="0" quotePrefix="0" xfId="0"/>
    <xf numFmtId="1" fontId="10" fillId="0" borderId="0" pivotButton="0" quotePrefix="0" xfId="0"/>
    <xf numFmtId="171" fontId="19" fillId="0" borderId="0" pivotButton="0" quotePrefix="0" xfId="0"/>
    <xf numFmtId="0" fontId="22" fillId="12" borderId="0" pivotButton="0" quotePrefix="0" xfId="0"/>
    <xf numFmtId="0" fontId="19" fillId="12" borderId="0" pivotButton="0" quotePrefix="0" xfId="0"/>
    <xf numFmtId="0" fontId="22" fillId="12" borderId="0" applyAlignment="1" pivotButton="0" quotePrefix="0" xfId="0">
      <alignment horizontal="center"/>
    </xf>
    <xf numFmtId="172" fontId="20" fillId="0" borderId="0" pivotButton="0" quotePrefix="0" xfId="0"/>
    <xf numFmtId="168" fontId="19" fillId="0" borderId="0" pivotButton="0" quotePrefix="0" xfId="0"/>
    <xf numFmtId="3" fontId="20" fillId="0" borderId="0" pivotButton="0" quotePrefix="0" xfId="0"/>
    <xf numFmtId="171" fontId="20" fillId="0" borderId="0" pivotButton="0" quotePrefix="0" xfId="0"/>
    <xf numFmtId="1" fontId="19" fillId="0" borderId="0" pivotButton="0" quotePrefix="0" xfId="0"/>
    <xf numFmtId="168" fontId="20" fillId="0" borderId="0" pivotButton="0" quotePrefix="0" xfId="0"/>
    <xf numFmtId="10" fontId="19" fillId="0" borderId="0" pivotButton="0" quotePrefix="0" xfId="0"/>
    <xf numFmtId="10" fontId="20" fillId="0" borderId="0" pivotButton="0" quotePrefix="0" xfId="0"/>
    <xf numFmtId="0" fontId="22" fillId="0" borderId="0" pivotButton="0" quotePrefix="0" xfId="0"/>
    <xf numFmtId="0" fontId="21" fillId="11" borderId="0" pivotButton="0" quotePrefix="0" xfId="0"/>
    <xf numFmtId="168" fontId="10" fillId="11" borderId="0" pivotButton="0" quotePrefix="0" xfId="0"/>
    <xf numFmtId="171" fontId="10" fillId="11" borderId="0" pivotButton="0" quotePrefix="0" xfId="0"/>
    <xf numFmtId="168" fontId="22" fillId="0" borderId="0" pivotButton="0" quotePrefix="0" xfId="0"/>
    <xf numFmtId="170" fontId="19" fillId="0" borderId="0" pivotButton="0" quotePrefix="0" xfId="0"/>
    <xf numFmtId="170" fontId="22" fillId="0" borderId="0" pivotButton="0" quotePrefix="0" xfId="0"/>
    <xf numFmtId="168" fontId="22" fillId="9" borderId="0" pivotButton="0" quotePrefix="0" xfId="0"/>
    <xf numFmtId="170" fontId="22" fillId="9" borderId="0" pivotButton="0" quotePrefix="0" xfId="0"/>
    <xf numFmtId="173" fontId="22" fillId="9" borderId="0" pivotButton="0" quotePrefix="0" xfId="0"/>
    <xf numFmtId="0" fontId="22" fillId="9" borderId="0" pivotButton="0" quotePrefix="0" xfId="0"/>
    <xf numFmtId="173" fontId="19" fillId="0" borderId="0" pivotButton="0" quotePrefix="0" xfId="0"/>
    <xf numFmtId="1" fontId="22" fillId="12" borderId="0" applyAlignment="1" pivotButton="0" quotePrefix="0" xfId="0">
      <alignment horizontal="center"/>
    </xf>
    <xf numFmtId="171" fontId="22" fillId="0" borderId="0" pivotButton="0" quotePrefix="0" xfId="0"/>
    <xf numFmtId="0" fontId="22" fillId="0" borderId="0" applyAlignment="1" pivotButton="0" quotePrefix="0" xfId="0">
      <alignment horizontal="center"/>
    </xf>
    <xf numFmtId="172" fontId="10" fillId="11" borderId="0" pivotButton="0" quotePrefix="0" xfId="0"/>
    <xf numFmtId="172" fontId="19" fillId="0" borderId="0" pivotButton="0" quotePrefix="0" xfId="0"/>
    <xf numFmtId="0" fontId="0" fillId="12" borderId="0" pivotButton="0" quotePrefix="0" xfId="0"/>
    <xf numFmtId="172" fontId="23" fillId="0" borderId="0" pivotButton="0" quotePrefix="0" xfId="0"/>
    <xf numFmtId="172" fontId="22" fillId="0" borderId="0" pivotButton="0" quotePrefix="0" xfId="0"/>
    <xf numFmtId="172" fontId="19" fillId="12" borderId="0" pivotButton="0" quotePrefix="0" xfId="0"/>
    <xf numFmtId="174" fontId="20" fillId="0" borderId="0" pivotButton="0" quotePrefix="0" xfId="0"/>
    <xf numFmtId="174" fontId="19" fillId="0" borderId="0" pivotButton="0" quotePrefix="0" xfId="0"/>
    <xf numFmtId="170" fontId="23" fillId="0" borderId="0" pivotButton="0" quotePrefix="0" xfId="0"/>
    <xf numFmtId="0" fontId="24" fillId="0" borderId="0" pivotButton="0" quotePrefix="0" xfId="0"/>
    <xf numFmtId="168" fontId="19" fillId="12" borderId="0" pivotButton="0" quotePrefix="0" xfId="0"/>
    <xf numFmtId="0" fontId="14" fillId="0" borderId="8" applyAlignment="1" pivotButton="0" quotePrefix="0" xfId="0">
      <alignment vertical="center" wrapText="1"/>
    </xf>
    <xf numFmtId="0" fontId="2" fillId="0" borderId="0" applyAlignment="1" pivotButton="0" quotePrefix="0" xfId="0">
      <alignment vertical="center" wrapText="1"/>
    </xf>
    <xf numFmtId="175" fontId="2" fillId="0" borderId="0" applyAlignment="1" pivotButton="0" quotePrefix="0" xfId="0">
      <alignment vertical="center" wrapText="1"/>
    </xf>
    <xf numFmtId="0" fontId="2" fillId="0" borderId="8" applyAlignment="1" pivotButton="0" quotePrefix="0" xfId="0">
      <alignment vertical="center" wrapText="1"/>
    </xf>
    <xf numFmtId="0" fontId="2" fillId="13" borderId="8" applyAlignment="1" pivotButton="0" quotePrefix="0" xfId="0">
      <alignment vertical="center" wrapText="1"/>
    </xf>
    <xf numFmtId="0" fontId="2" fillId="0" borderId="21" applyAlignment="1" pivotButton="0" quotePrefix="0" xfId="0">
      <alignment vertical="center" wrapText="1"/>
    </xf>
    <xf numFmtId="0" fontId="0" fillId="0" borderId="0" applyAlignment="1" pivotButton="0" quotePrefix="0" xfId="0">
      <alignment wrapText="1"/>
    </xf>
    <xf numFmtId="167" fontId="9" fillId="0" borderId="16" applyAlignment="1" pivotButton="0" quotePrefix="0" xfId="3">
      <alignment horizontal="center" vertical="center"/>
    </xf>
    <xf numFmtId="172" fontId="2" fillId="0" borderId="19" applyAlignment="1" pivotButton="0" quotePrefix="0" xfId="0">
      <alignment vertical="center" wrapText="1"/>
    </xf>
    <xf numFmtId="172" fontId="2" fillId="0" borderId="20" applyAlignment="1" pivotButton="0" quotePrefix="0" xfId="0">
      <alignment vertical="center" wrapText="1"/>
    </xf>
    <xf numFmtId="2" fontId="2" fillId="0" borderId="19" applyAlignment="1" pivotButton="0" quotePrefix="0" xfId="0">
      <alignment vertical="center" wrapText="1"/>
    </xf>
    <xf numFmtId="0" fontId="14" fillId="15" borderId="8" applyAlignment="1" pivotButton="0" quotePrefix="0" xfId="0">
      <alignment vertical="center" wrapText="1"/>
    </xf>
    <xf numFmtId="172" fontId="14" fillId="15" borderId="19" applyAlignment="1" pivotButton="0" quotePrefix="0" xfId="0">
      <alignment vertical="center" wrapText="1"/>
    </xf>
    <xf numFmtId="49" fontId="26" fillId="14" borderId="12" applyAlignment="1" pivotButton="0" quotePrefix="0" xfId="0">
      <alignment horizontal="left" vertical="center" wrapText="1"/>
    </xf>
    <xf numFmtId="1" fontId="26" fillId="14" borderId="12" applyAlignment="1" pivotButton="0" quotePrefix="0" xfId="0">
      <alignment horizontal="center" vertical="center" wrapText="1"/>
    </xf>
    <xf numFmtId="0" fontId="14" fillId="0" borderId="14" applyAlignment="1" pivotButton="0" quotePrefix="0" xfId="0">
      <alignment vertical="center" wrapText="1"/>
    </xf>
    <xf numFmtId="172" fontId="14" fillId="0" borderId="21" applyAlignment="1" pivotButton="0" quotePrefix="0" xfId="0">
      <alignment vertical="center" wrapText="1"/>
    </xf>
    <xf numFmtId="0" fontId="2" fillId="0" borderId="10" applyAlignment="1" pivotButton="0" quotePrefix="0" xfId="0">
      <alignment vertical="center" wrapText="1"/>
    </xf>
    <xf numFmtId="0" fontId="2" fillId="0" borderId="14" applyAlignment="1" pivotButton="0" quotePrefix="0" xfId="0">
      <alignment vertical="center" wrapText="1"/>
    </xf>
    <xf numFmtId="172" fontId="2" fillId="0" borderId="21" applyAlignment="1" pivotButton="0" quotePrefix="0" xfId="0">
      <alignment vertical="center" wrapText="1"/>
    </xf>
    <xf numFmtId="172" fontId="14" fillId="15" borderId="23" applyAlignment="1" pivotButton="0" quotePrefix="0" xfId="0">
      <alignment vertical="center" wrapText="1"/>
    </xf>
    <xf numFmtId="0" fontId="14" fillId="15" borderId="14" applyAlignment="1" pivotButton="0" quotePrefix="0" xfId="0">
      <alignment vertical="center" wrapText="1"/>
    </xf>
    <xf numFmtId="172" fontId="14" fillId="15" borderId="21" applyAlignment="1" pivotButton="0" quotePrefix="0" xfId="0">
      <alignment vertical="center" wrapText="1"/>
    </xf>
    <xf numFmtId="0" fontId="2" fillId="0" borderId="24" applyAlignment="1" pivotButton="0" quotePrefix="0" xfId="0">
      <alignment vertical="center" wrapText="1"/>
    </xf>
    <xf numFmtId="2" fontId="2" fillId="0" borderId="25" applyAlignment="1" pivotButton="0" quotePrefix="0" xfId="0">
      <alignment vertical="center" wrapText="1"/>
    </xf>
    <xf numFmtId="172" fontId="2" fillId="0" borderId="8" applyAlignment="1" pivotButton="0" quotePrefix="0" xfId="0">
      <alignment vertical="center" wrapText="1"/>
    </xf>
    <xf numFmtId="172" fontId="14" fillId="15" borderId="8" applyAlignment="1" pivotButton="0" quotePrefix="0" xfId="0">
      <alignment vertical="center" wrapText="1"/>
    </xf>
    <xf numFmtId="172" fontId="2" fillId="0" borderId="14" applyAlignment="1" pivotButton="0" quotePrefix="0" xfId="0">
      <alignment vertical="center" wrapText="1"/>
    </xf>
    <xf numFmtId="0" fontId="26" fillId="14" borderId="12" applyAlignment="1" pivotButton="0" quotePrefix="0" xfId="0">
      <alignment horizontal="left" vertical="center" wrapText="1"/>
    </xf>
    <xf numFmtId="172" fontId="2" fillId="0" borderId="10" applyAlignment="1" pivotButton="0" quotePrefix="0" xfId="0">
      <alignment vertical="center" wrapText="1"/>
    </xf>
    <xf numFmtId="0" fontId="14" fillId="15" borderId="10" applyAlignment="1" pivotButton="0" quotePrefix="0" xfId="0">
      <alignment vertical="center" wrapText="1"/>
    </xf>
    <xf numFmtId="172" fontId="14" fillId="15" borderId="10" applyAlignment="1" pivotButton="0" quotePrefix="0" xfId="0">
      <alignment vertical="center" wrapText="1"/>
    </xf>
    <xf numFmtId="0" fontId="14" fillId="15" borderId="24" applyAlignment="1" pivotButton="0" quotePrefix="0" xfId="0">
      <alignment vertical="center" wrapText="1"/>
    </xf>
    <xf numFmtId="172" fontId="14" fillId="15" borderId="24" applyAlignment="1" pivotButton="0" quotePrefix="0" xfId="0">
      <alignment vertical="center" wrapText="1"/>
    </xf>
    <xf numFmtId="172" fontId="0" fillId="0" borderId="22" pivotButton="0" quotePrefix="0" xfId="0"/>
    <xf numFmtId="172" fontId="0" fillId="0" borderId="8" applyAlignment="1" pivotButton="0" quotePrefix="0" xfId="0">
      <alignment wrapText="1"/>
    </xf>
    <xf numFmtId="0" fontId="14" fillId="0" borderId="24" applyAlignment="1" pivotButton="0" quotePrefix="0" xfId="0">
      <alignment vertical="center" wrapText="1"/>
    </xf>
    <xf numFmtId="172" fontId="2" fillId="0" borderId="24" applyAlignment="1" pivotButton="0" quotePrefix="0" xfId="0">
      <alignment vertical="center" wrapText="1"/>
    </xf>
    <xf numFmtId="172" fontId="0" fillId="0" borderId="24" applyAlignment="1" pivotButton="0" quotePrefix="0" xfId="0">
      <alignment wrapText="1"/>
    </xf>
    <xf numFmtId="0" fontId="27" fillId="14" borderId="27" applyAlignment="1" pivotButton="0" quotePrefix="0" xfId="0">
      <alignment horizontal="center"/>
    </xf>
    <xf numFmtId="0" fontId="19" fillId="0" borderId="28" pivotButton="0" quotePrefix="0" xfId="0"/>
    <xf numFmtId="0" fontId="0" fillId="0" borderId="28" pivotButton="0" quotePrefix="0" xfId="0"/>
    <xf numFmtId="10" fontId="20" fillId="0" borderId="28" pivotButton="0" quotePrefix="0" xfId="0"/>
    <xf numFmtId="10" fontId="19" fillId="0" borderId="28" pivotButton="0" quotePrefix="0" xfId="0"/>
    <xf numFmtId="0" fontId="28" fillId="0" borderId="0" pivotButton="0" quotePrefix="0" xfId="0"/>
    <xf numFmtId="0" fontId="29" fillId="0" borderId="0" pivotButton="0" quotePrefix="0" xfId="0"/>
    <xf numFmtId="0" fontId="30" fillId="0" borderId="0" pivotButton="0" quotePrefix="0" xfId="0"/>
    <xf numFmtId="49" fontId="31" fillId="14" borderId="27" applyAlignment="1" pivotButton="0" quotePrefix="0" xfId="0">
      <alignment horizontal="left"/>
    </xf>
    <xf numFmtId="1" fontId="31" fillId="14" borderId="27" applyAlignment="1" pivotButton="0" quotePrefix="0" xfId="0">
      <alignment horizontal="center"/>
    </xf>
    <xf numFmtId="0" fontId="31" fillId="14" borderId="0" pivotButton="0" quotePrefix="0" xfId="0"/>
    <xf numFmtId="172" fontId="29" fillId="0" borderId="0" pivotButton="0" quotePrefix="0" xfId="0"/>
    <xf numFmtId="168" fontId="29" fillId="0" borderId="0" pivotButton="0" quotePrefix="0" xfId="0"/>
    <xf numFmtId="0" fontId="32" fillId="15" borderId="26" pivotButton="0" quotePrefix="0" xfId="0"/>
    <xf numFmtId="172" fontId="32" fillId="15" borderId="26" pivotButton="0" quotePrefix="0" xfId="0"/>
    <xf numFmtId="0" fontId="32" fillId="15" borderId="0" pivotButton="0" quotePrefix="0" xfId="0"/>
    <xf numFmtId="172" fontId="32" fillId="15" borderId="0" pivotButton="0" quotePrefix="0" xfId="0"/>
    <xf numFmtId="0" fontId="32" fillId="15" borderId="28" pivotButton="0" quotePrefix="0" xfId="0"/>
    <xf numFmtId="168" fontId="32" fillId="15" borderId="28" pivotButton="0" quotePrefix="0" xfId="0"/>
    <xf numFmtId="168" fontId="32" fillId="15" borderId="0" pivotButton="0" quotePrefix="0" xfId="0"/>
    <xf numFmtId="9" fontId="32" fillId="15" borderId="0" pivotButton="0" quotePrefix="0" xfId="0"/>
    <xf numFmtId="0" fontId="31" fillId="14" borderId="16" pivotButton="0" quotePrefix="0" xfId="0"/>
    <xf numFmtId="1" fontId="34" fillId="0" borderId="0" applyAlignment="1" pivotButton="0" quotePrefix="0" xfId="0">
      <alignment horizontal="center"/>
    </xf>
    <xf numFmtId="168" fontId="36" fillId="0" borderId="0" applyAlignment="1" pivotButton="0" quotePrefix="0" xfId="0">
      <alignment horizontal="center" vertical="center" wrapText="1"/>
    </xf>
    <xf numFmtId="0" fontId="35" fillId="0" borderId="0" applyAlignment="1" pivotButton="0" quotePrefix="0" xfId="0">
      <alignment horizontal="right" vertical="top"/>
    </xf>
    <xf numFmtId="0" fontId="9" fillId="2" borderId="14" applyAlignment="1" pivotButton="0" quotePrefix="0" xfId="3">
      <alignment horizontal="center" vertical="center"/>
    </xf>
    <xf numFmtId="2" fontId="10" fillId="2" borderId="14" applyAlignment="1" applyProtection="1" pivotButton="0" quotePrefix="0" xfId="3">
      <alignment horizontal="center" vertical="center"/>
      <protection locked="0" hidden="0"/>
    </xf>
    <xf numFmtId="9" fontId="11" fillId="2" borderId="14" applyAlignment="1" pivotButton="0" quotePrefix="0" xfId="4">
      <alignment horizontal="center" vertical="center"/>
    </xf>
    <xf numFmtId="2" fontId="9" fillId="2" borderId="14" applyAlignment="1" pivotButton="0" quotePrefix="0" xfId="3">
      <alignment horizontal="center" vertical="center"/>
    </xf>
    <xf numFmtId="10" fontId="9" fillId="2" borderId="14" applyAlignment="1" pivotButton="0" quotePrefix="0" xfId="3">
      <alignment horizontal="center" vertical="center"/>
    </xf>
    <xf numFmtId="167" fontId="9" fillId="2" borderId="14" applyAlignment="1" pivotButton="0" quotePrefix="0" xfId="3">
      <alignment horizontal="center" vertical="center"/>
    </xf>
    <xf numFmtId="9" fontId="9" fillId="2" borderId="14" applyAlignment="1" pivotButton="0" quotePrefix="0" xfId="3">
      <alignment horizontal="center" vertical="center"/>
    </xf>
    <xf numFmtId="1" fontId="12" fillId="2" borderId="14" applyAlignment="1" pivotButton="0" quotePrefix="0" xfId="3">
      <alignment horizontal="center" vertical="center"/>
    </xf>
    <xf numFmtId="168" fontId="9" fillId="2" borderId="14" applyAlignment="1" pivotButton="0" quotePrefix="0" xfId="3">
      <alignment horizontal="center" vertical="center"/>
    </xf>
    <xf numFmtId="169" fontId="12" fillId="2" borderId="14" applyAlignment="1" pivotButton="0" quotePrefix="0" xfId="3">
      <alignment horizontal="center"/>
    </xf>
    <xf numFmtId="4" fontId="9" fillId="2" borderId="14" applyAlignment="1" pivotButton="0" quotePrefix="0" xfId="3">
      <alignment horizontal="center" vertical="center"/>
    </xf>
    <xf numFmtId="0" fontId="6" fillId="0" borderId="27" applyAlignment="1" pivotButton="0" quotePrefix="0" xfId="3">
      <alignment horizontal="center" vertical="center"/>
    </xf>
    <xf numFmtId="0" fontId="9" fillId="2" borderId="12" applyAlignment="1" pivotButton="0" quotePrefix="0" xfId="3">
      <alignment horizontal="center" vertical="center"/>
    </xf>
    <xf numFmtId="2" fontId="10" fillId="2" borderId="12" applyAlignment="1" applyProtection="1" pivotButton="0" quotePrefix="0" xfId="3">
      <alignment horizontal="center" vertical="center"/>
      <protection locked="0" hidden="0"/>
    </xf>
    <xf numFmtId="9" fontId="11" fillId="2" borderId="12" applyAlignment="1" pivotButton="0" quotePrefix="0" xfId="4">
      <alignment horizontal="center" vertical="center"/>
    </xf>
    <xf numFmtId="2" fontId="9" fillId="2" borderId="12" applyAlignment="1" pivotButton="0" quotePrefix="0" xfId="3">
      <alignment horizontal="center" vertical="center"/>
    </xf>
    <xf numFmtId="10" fontId="9" fillId="2" borderId="12" applyAlignment="1" pivotButton="0" quotePrefix="0" xfId="3">
      <alignment horizontal="center" vertical="center"/>
    </xf>
    <xf numFmtId="167" fontId="9" fillId="2" borderId="12" applyAlignment="1" pivotButton="0" quotePrefix="0" xfId="3">
      <alignment horizontal="center" vertical="center"/>
    </xf>
    <xf numFmtId="9" fontId="9" fillId="2" borderId="12" applyAlignment="1" pivotButton="0" quotePrefix="0" xfId="3">
      <alignment horizontal="center" vertical="center"/>
    </xf>
    <xf numFmtId="1" fontId="12" fillId="2" borderId="12" applyAlignment="1" pivotButton="0" quotePrefix="0" xfId="3">
      <alignment horizontal="center" vertical="center"/>
    </xf>
    <xf numFmtId="168" fontId="9" fillId="2" borderId="12" applyAlignment="1" pivotButton="0" quotePrefix="0" xfId="3">
      <alignment horizontal="center" vertical="center"/>
    </xf>
    <xf numFmtId="169" fontId="12" fillId="2" borderId="12" applyAlignment="1" pivotButton="0" quotePrefix="0" xfId="3">
      <alignment horizontal="center"/>
    </xf>
    <xf numFmtId="4" fontId="9" fillId="2" borderId="12" applyAlignment="1" pivotButton="0" quotePrefix="0" xfId="3">
      <alignment horizontal="center" vertical="center"/>
    </xf>
    <xf numFmtId="0" fontId="37" fillId="0" borderId="1" applyAlignment="1" pivotButton="0" quotePrefix="0" xfId="3">
      <alignment horizontal="center" vertical="center"/>
    </xf>
    <xf numFmtId="0" fontId="22" fillId="16" borderId="0" pivotButton="0" quotePrefix="0" xfId="0"/>
    <xf numFmtId="0" fontId="0" fillId="16" borderId="0" pivotButton="0" quotePrefix="0" xfId="0"/>
    <xf numFmtId="172" fontId="23" fillId="16" borderId="0" pivotButton="0" quotePrefix="0" xfId="0"/>
    <xf numFmtId="172" fontId="22" fillId="16" borderId="0" pivotButton="0" quotePrefix="0" xfId="0"/>
    <xf numFmtId="0" fontId="8" fillId="2" borderId="0" applyAlignment="1" pivotButton="0" quotePrefix="0" xfId="3">
      <alignment horizontal="center" vertical="center"/>
    </xf>
    <xf numFmtId="0" fontId="6" fillId="17" borderId="0" applyAlignment="1" pivotButton="0" quotePrefix="0" xfId="3">
      <alignment horizontal="center" vertical="center" wrapText="1"/>
    </xf>
    <xf numFmtId="0" fontId="6" fillId="17" borderId="0" applyAlignment="1" pivotButton="0" quotePrefix="0" xfId="3">
      <alignment horizontal="center" vertical="center"/>
    </xf>
    <xf numFmtId="0" fontId="8" fillId="17" borderId="0" applyAlignment="1" pivotButton="0" quotePrefix="0" xfId="3">
      <alignment horizontal="center" vertical="center"/>
    </xf>
    <xf numFmtId="0" fontId="8" fillId="18" borderId="0" applyAlignment="1" pivotButton="0" quotePrefix="0" xfId="3">
      <alignment horizontal="center" vertical="center"/>
    </xf>
    <xf numFmtId="167" fontId="8" fillId="18" borderId="0" applyAlignment="1" pivotButton="0" quotePrefix="0" xfId="3">
      <alignment horizontal="center" vertical="center"/>
    </xf>
    <xf numFmtId="0" fontId="8" fillId="19" borderId="0" applyAlignment="1" pivotButton="0" quotePrefix="0" xfId="3">
      <alignment horizontal="center" vertical="center"/>
    </xf>
    <xf numFmtId="10" fontId="8" fillId="19" borderId="0" applyAlignment="1" pivotButton="0" quotePrefix="0" xfId="3">
      <alignment horizontal="center" vertical="center"/>
    </xf>
    <xf numFmtId="176" fontId="6" fillId="17" borderId="0" applyAlignment="1" applyProtection="1" pivotButton="0" quotePrefix="0" xfId="3">
      <alignment horizontal="center" vertical="center"/>
      <protection locked="0" hidden="0"/>
    </xf>
    <xf numFmtId="0" fontId="1" fillId="17" borderId="0" pivotButton="0" quotePrefix="0" xfId="3"/>
    <xf numFmtId="0" fontId="14" fillId="17" borderId="0" applyAlignment="1" pivotButton="0" quotePrefix="0" xfId="3">
      <alignment horizontal="center" vertical="center"/>
    </xf>
    <xf numFmtId="0" fontId="0" fillId="17" borderId="0" pivotButton="0" quotePrefix="0" xfId="0"/>
    <xf numFmtId="0" fontId="6" fillId="17" borderId="0" applyAlignment="1" pivotButton="0" quotePrefix="0" xfId="3">
      <alignment horizontal="center" vertical="center"/>
    </xf>
    <xf numFmtId="9" fontId="9" fillId="2" borderId="0" applyAlignment="1" pivotButton="0" quotePrefix="0" xfId="3">
      <alignment horizontal="center" vertical="center"/>
    </xf>
    <xf numFmtId="0" fontId="8" fillId="17" borderId="0" applyAlignment="1" pivotButton="0" quotePrefix="0" xfId="3">
      <alignment horizontal="center" vertical="center" wrapText="1"/>
    </xf>
    <xf numFmtId="10" fontId="6" fillId="2" borderId="0" applyAlignment="1" pivotButton="0" quotePrefix="0" xfId="3">
      <alignment horizontal="center" vertical="center"/>
    </xf>
    <xf numFmtId="9" fontId="13" fillId="2" borderId="0" applyAlignment="1" pivotButton="0" quotePrefix="0" xfId="3">
      <alignment horizontal="center" vertical="center"/>
    </xf>
    <xf numFmtId="0" fontId="0" fillId="0" borderId="1" applyAlignment="1" pivotButton="0" quotePrefix="0" xfId="0">
      <alignment horizontal="center"/>
    </xf>
    <xf numFmtId="165" fontId="4" fillId="0" borderId="3" applyAlignment="1" pivotButton="0" quotePrefix="0" xfId="0">
      <alignment horizontal="center" vertical="center"/>
    </xf>
    <xf numFmtId="165" fontId="4" fillId="0" borderId="4" applyAlignment="1" pivotButton="0" quotePrefix="0" xfId="0">
      <alignment horizontal="center" vertical="center"/>
    </xf>
    <xf numFmtId="0" fontId="4" fillId="3" borderId="5" applyAlignment="1" pivotButton="0" quotePrefix="0" xfId="0">
      <alignment horizontal="center" vertical="center" wrapText="1"/>
    </xf>
    <xf numFmtId="0" fontId="0" fillId="0" borderId="6" applyAlignment="1" pivotButton="0" quotePrefix="0" xfId="0">
      <alignment horizontal="center" vertical="center" wrapText="1"/>
    </xf>
    <xf numFmtId="165" fontId="4" fillId="0" borderId="9" applyAlignment="1" pivotButton="0" quotePrefix="0" xfId="0">
      <alignment horizontal="center" vertical="center"/>
    </xf>
    <xf numFmtId="0" fontId="4" fillId="0" borderId="1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6" applyAlignment="1" pivotButton="0" quotePrefix="0" xfId="0">
      <alignment horizontal="center" vertical="center" wrapText="1"/>
    </xf>
    <xf numFmtId="0" fontId="4" fillId="3" borderId="15" applyAlignment="1" pivotButton="0" quotePrefix="0" xfId="0">
      <alignment horizontal="center" vertical="center" wrapText="1"/>
    </xf>
    <xf numFmtId="0" fontId="0" fillId="0" borderId="2" applyAlignment="1" pivotButton="0" quotePrefix="0" xfId="0">
      <alignment horizontal="center" vertical="center" wrapText="1"/>
    </xf>
    <xf numFmtId="0" fontId="4" fillId="0" borderId="5"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0" applyAlignment="1" pivotButton="0" quotePrefix="0" xfId="0">
      <alignment horizontal="center" vertical="center"/>
    </xf>
    <xf numFmtId="0" fontId="2" fillId="0" borderId="0" applyAlignment="1" pivotButton="0" quotePrefix="0" xfId="0">
      <alignment vertical="center" wrapText="1"/>
    </xf>
    <xf numFmtId="10" fontId="38" fillId="17" borderId="0" applyAlignment="1" pivotButton="0" quotePrefix="0" xfId="3">
      <alignment horizontal="left" vertical="center"/>
    </xf>
    <xf numFmtId="177" fontId="29" fillId="17" borderId="8" applyAlignment="1" pivotButton="0" quotePrefix="0" xfId="3">
      <alignment horizontal="center" vertical="center"/>
    </xf>
    <xf numFmtId="4" fontId="39" fillId="2" borderId="8" applyAlignment="1" pivotButton="0" quotePrefix="0" xfId="3">
      <alignment horizontal="center" vertical="center"/>
    </xf>
    <xf numFmtId="167" fontId="29" fillId="17" borderId="8" applyAlignment="1" pivotButton="0" quotePrefix="0" xfId="3">
      <alignment horizontal="center" vertical="center"/>
    </xf>
    <xf numFmtId="167" fontId="32" fillId="22" borderId="8" applyAlignment="1" pivotButton="0" quotePrefix="0" xfId="3">
      <alignment horizontal="center" vertical="center"/>
    </xf>
    <xf numFmtId="177" fontId="32" fillId="22" borderId="8" applyAlignment="1" pivotButton="0" quotePrefix="0" xfId="3">
      <alignment horizontal="center" vertical="center"/>
    </xf>
    <xf numFmtId="4" fontId="40" fillId="22" borderId="8" applyAlignment="1" pivotButton="0" quotePrefix="0" xfId="3">
      <alignment horizontal="center" vertical="center"/>
    </xf>
    <xf numFmtId="4" fontId="39" fillId="26" borderId="12" applyAlignment="1" pivotButton="0" quotePrefix="0" xfId="3">
      <alignment horizontal="center" vertical="center"/>
    </xf>
    <xf numFmtId="167" fontId="29" fillId="23" borderId="8" applyAlignment="1" pivotButton="0" quotePrefix="0" xfId="3">
      <alignment horizontal="center" vertical="center"/>
    </xf>
    <xf numFmtId="177" fontId="29" fillId="23" borderId="8" applyAlignment="1" pivotButton="0" quotePrefix="0" xfId="3">
      <alignment horizontal="center" vertical="center"/>
    </xf>
    <xf numFmtId="4" fontId="39" fillId="24" borderId="8" applyAlignment="1" pivotButton="0" quotePrefix="0" xfId="3">
      <alignment horizontal="center" vertical="center"/>
    </xf>
    <xf numFmtId="4" fontId="39" fillId="26" borderId="8" applyAlignment="1" pivotButton="0" quotePrefix="0" xfId="3">
      <alignment horizontal="center" vertical="center"/>
    </xf>
    <xf numFmtId="168" fontId="29" fillId="23" borderId="8" applyAlignment="1" pivotButton="0" quotePrefix="0" xfId="3">
      <alignment horizontal="center" vertical="center"/>
    </xf>
    <xf numFmtId="2" fontId="29" fillId="22" borderId="8" applyAlignment="1" pivotButton="0" quotePrefix="0" xfId="3">
      <alignment horizontal="center" vertical="center"/>
    </xf>
    <xf numFmtId="177" fontId="29" fillId="22" borderId="8" applyAlignment="1" pivotButton="0" quotePrefix="0" xfId="3">
      <alignment horizontal="center" vertical="center"/>
    </xf>
    <xf numFmtId="4" fontId="39" fillId="22" borderId="8" applyAlignment="1" pivotButton="0" quotePrefix="0" xfId="3">
      <alignment horizontal="center" vertical="center"/>
    </xf>
    <xf numFmtId="167" fontId="29" fillId="25" borderId="8" applyAlignment="1" pivotButton="0" quotePrefix="0" xfId="3">
      <alignment horizontal="center" vertical="center"/>
    </xf>
    <xf numFmtId="177" fontId="29" fillId="25" borderId="8" applyAlignment="1" pivotButton="0" quotePrefix="0" xfId="3">
      <alignment horizontal="center" vertical="center"/>
    </xf>
    <xf numFmtId="9" fontId="6" fillId="2" borderId="8" applyAlignment="1" applyProtection="1" pivotButton="0" quotePrefix="0" xfId="3">
      <alignment horizontal="center" vertical="center"/>
      <protection locked="0" hidden="0"/>
    </xf>
    <xf numFmtId="10" fontId="42" fillId="0" borderId="0" applyAlignment="1" pivotButton="0" quotePrefix="0" xfId="3">
      <alignment horizontal="center" vertical="center"/>
    </xf>
    <xf numFmtId="0" fontId="43" fillId="0" borderId="0" applyAlignment="1" pivotButton="0" quotePrefix="0" xfId="3">
      <alignment horizontal="center" vertical="center"/>
    </xf>
    <xf numFmtId="167" fontId="43" fillId="0" borderId="0" applyAlignment="1" pivotButton="0" quotePrefix="0" xfId="3">
      <alignment horizontal="center" vertical="center"/>
    </xf>
    <xf numFmtId="9" fontId="43" fillId="0" borderId="0" applyAlignment="1" pivotButton="0" quotePrefix="0" xfId="3">
      <alignment horizontal="center"/>
    </xf>
    <xf numFmtId="2" fontId="42" fillId="0" borderId="0" applyAlignment="1" pivotButton="0" quotePrefix="0" xfId="3">
      <alignment horizontal="center" vertical="center"/>
    </xf>
    <xf numFmtId="0" fontId="43" fillId="0" borderId="0" applyAlignment="1" pivotButton="0" quotePrefix="0" xfId="3">
      <alignment horizontal="center"/>
    </xf>
    <xf numFmtId="167" fontId="43" fillId="0" borderId="0" applyAlignment="1" pivotButton="0" quotePrefix="0" xfId="3">
      <alignment horizontal="center"/>
    </xf>
    <xf numFmtId="10" fontId="43" fillId="0" borderId="0" applyAlignment="1" pivotButton="0" quotePrefix="0" xfId="3">
      <alignment horizontal="center" vertical="center"/>
    </xf>
    <xf numFmtId="178" fontId="43" fillId="0" borderId="0" applyAlignment="1" pivotButton="0" quotePrefix="0" xfId="0">
      <alignment horizontal="center"/>
    </xf>
    <xf numFmtId="167" fontId="44" fillId="0" borderId="0" applyAlignment="1" applyProtection="1" pivotButton="0" quotePrefix="0" xfId="3">
      <alignment horizontal="left" vertical="center"/>
      <protection locked="0" hidden="0"/>
    </xf>
    <xf numFmtId="2" fontId="45" fillId="0" borderId="0" applyAlignment="1" pivotButton="0" quotePrefix="0" xfId="3">
      <alignment horizontal="left" vertical="center"/>
    </xf>
    <xf numFmtId="0" fontId="43" fillId="0" borderId="0" applyAlignment="1" pivotButton="0" quotePrefix="0" xfId="3">
      <alignment horizontal="left"/>
    </xf>
    <xf numFmtId="10" fontId="46" fillId="28" borderId="0" applyAlignment="1" pivotButton="0" quotePrefix="0" xfId="3">
      <alignment horizontal="left" vertical="center"/>
    </xf>
    <xf numFmtId="10" fontId="46" fillId="28" borderId="0" applyAlignment="1" pivotButton="0" quotePrefix="0" xfId="3">
      <alignment horizontal="center" vertical="center"/>
    </xf>
    <xf numFmtId="0" fontId="46" fillId="28" borderId="0" applyAlignment="1" pivotButton="0" quotePrefix="0" xfId="3">
      <alignment horizontal="center" vertical="center"/>
    </xf>
    <xf numFmtId="167" fontId="46" fillId="28" borderId="0" applyAlignment="1" pivotButton="0" quotePrefix="0" xfId="3">
      <alignment horizontal="center" vertical="center"/>
    </xf>
    <xf numFmtId="0" fontId="46" fillId="28" borderId="0" applyAlignment="1" pivotButton="0" quotePrefix="0" xfId="3">
      <alignment horizontal="center"/>
    </xf>
    <xf numFmtId="2" fontId="46" fillId="28" borderId="0" applyAlignment="1" pivotButton="0" quotePrefix="0" xfId="3">
      <alignment horizontal="left" vertical="center"/>
    </xf>
    <xf numFmtId="2" fontId="46" fillId="28" borderId="0" applyAlignment="1" pivotButton="0" quotePrefix="0" xfId="3">
      <alignment horizontal="center" vertical="center"/>
    </xf>
    <xf numFmtId="178" fontId="46" fillId="28" borderId="0" applyAlignment="1" pivotButton="0" quotePrefix="0" xfId="0">
      <alignment horizontal="left"/>
    </xf>
    <xf numFmtId="0" fontId="46" fillId="28" borderId="0" applyAlignment="1" pivotButton="0" quotePrefix="0" xfId="3">
      <alignment horizontal="left"/>
    </xf>
    <xf numFmtId="167" fontId="42" fillId="20" borderId="30" applyAlignment="1" pivotButton="0" quotePrefix="0" xfId="3">
      <alignment horizontal="center" vertical="center" wrapText="1"/>
    </xf>
    <xf numFmtId="0" fontId="42" fillId="20" borderId="30" applyAlignment="1" pivotButton="0" quotePrefix="0" xfId="3">
      <alignment horizontal="center" wrapText="1"/>
    </xf>
    <xf numFmtId="168" fontId="47" fillId="0" borderId="30" applyAlignment="1" pivotButton="0" quotePrefix="0" xfId="3">
      <alignment horizontal="center"/>
    </xf>
    <xf numFmtId="179" fontId="43" fillId="0" borderId="30" applyAlignment="1" pivotButton="0" quotePrefix="0" xfId="3">
      <alignment horizontal="center"/>
    </xf>
    <xf numFmtId="40" fontId="43" fillId="0" borderId="30" applyAlignment="1" pivotButton="0" quotePrefix="0" xfId="3">
      <alignment horizontal="center"/>
    </xf>
    <xf numFmtId="168" fontId="43" fillId="0" borderId="30" applyAlignment="1" pivotButton="0" quotePrefix="0" xfId="3">
      <alignment horizontal="center"/>
    </xf>
    <xf numFmtId="10" fontId="42" fillId="0" borderId="30" applyAlignment="1" pivotButton="0" quotePrefix="0" xfId="3">
      <alignment horizontal="left" vertical="center"/>
    </xf>
    <xf numFmtId="4" fontId="42" fillId="0" borderId="30" applyAlignment="1" pivotButton="0" quotePrefix="0" xfId="3">
      <alignment horizontal="center" vertical="center"/>
    </xf>
    <xf numFmtId="168" fontId="42" fillId="0" borderId="30" applyAlignment="1" pivotButton="0" quotePrefix="0" xfId="3">
      <alignment horizontal="center"/>
    </xf>
    <xf numFmtId="179" fontId="42" fillId="0" borderId="30" applyAlignment="1" pivotButton="0" quotePrefix="0" xfId="3">
      <alignment horizontal="center"/>
    </xf>
    <xf numFmtId="40" fontId="42" fillId="0" borderId="30" applyAlignment="1" pivotButton="0" quotePrefix="0" xfId="3">
      <alignment horizontal="center"/>
    </xf>
    <xf numFmtId="168" fontId="48" fillId="0" borderId="30" applyAlignment="1" pivotButton="0" quotePrefix="0" xfId="3">
      <alignment horizontal="center"/>
    </xf>
    <xf numFmtId="0" fontId="43" fillId="0" borderId="30" applyAlignment="1" pivotButton="0" quotePrefix="0" xfId="3">
      <alignment horizontal="left"/>
    </xf>
    <xf numFmtId="0" fontId="43" fillId="0" borderId="30" applyAlignment="1" pivotButton="0" quotePrefix="0" xfId="3">
      <alignment horizontal="center"/>
    </xf>
    <xf numFmtId="0" fontId="43" fillId="0" borderId="31" applyAlignment="1" pivotButton="0" quotePrefix="0" xfId="3">
      <alignment horizontal="left"/>
    </xf>
    <xf numFmtId="168" fontId="42" fillId="21" borderId="30" applyAlignment="1" pivotButton="0" quotePrefix="0" xfId="3">
      <alignment horizontal="center" vertical="center"/>
    </xf>
    <xf numFmtId="40" fontId="42" fillId="21" borderId="30" applyAlignment="1" pivotButton="0" quotePrefix="0" xfId="3">
      <alignment horizontal="center" vertical="center"/>
    </xf>
    <xf numFmtId="180" fontId="42" fillId="21" borderId="30" applyAlignment="1" pivotButton="0" quotePrefix="0" xfId="3">
      <alignment horizontal="center" vertical="center"/>
    </xf>
    <xf numFmtId="0" fontId="43" fillId="0" borderId="30" applyAlignment="1" pivotButton="0" quotePrefix="0" xfId="3">
      <alignment horizontal="left" vertical="center"/>
    </xf>
    <xf numFmtId="10" fontId="42" fillId="21" borderId="30" applyAlignment="1" pivotButton="0" quotePrefix="0" xfId="3">
      <alignment horizontal="center" vertical="center"/>
    </xf>
    <xf numFmtId="40" fontId="43" fillId="0" borderId="30" applyAlignment="1" pivotButton="0" quotePrefix="0" xfId="3">
      <alignment horizontal="center" vertical="center"/>
    </xf>
    <xf numFmtId="4" fontId="43" fillId="0" borderId="30" applyAlignment="1" pivotButton="0" quotePrefix="0" xfId="0">
      <alignment horizontal="left"/>
    </xf>
    <xf numFmtId="181" fontId="43" fillId="0" borderId="30" applyAlignment="1" pivotButton="0" quotePrefix="0" xfId="1">
      <alignment horizontal="left"/>
    </xf>
    <xf numFmtId="168" fontId="43" fillId="0" borderId="30" applyAlignment="1" pivotButton="0" quotePrefix="0" xfId="1">
      <alignment horizontal="center"/>
    </xf>
    <xf numFmtId="10" fontId="43" fillId="0" borderId="30" applyAlignment="1" pivotButton="0" quotePrefix="0" xfId="1">
      <alignment horizontal="left"/>
    </xf>
    <xf numFmtId="2" fontId="43" fillId="0" borderId="30" applyAlignment="1" pivotButton="0" quotePrefix="0" xfId="1">
      <alignment horizontal="center"/>
    </xf>
    <xf numFmtId="0" fontId="42" fillId="20" borderId="30" applyAlignment="1" pivotButton="0" quotePrefix="0" xfId="3">
      <alignment horizontal="left" wrapText="1"/>
    </xf>
    <xf numFmtId="4" fontId="43" fillId="0" borderId="30" applyAlignment="1" pivotButton="0" quotePrefix="0" xfId="3">
      <alignment horizontal="center"/>
    </xf>
    <xf numFmtId="180" fontId="42" fillId="21" borderId="30" applyAlignment="1" pivotButton="0" quotePrefix="0" xfId="3">
      <alignment horizontal="center"/>
    </xf>
    <xf numFmtId="178" fontId="43" fillId="0" borderId="30" applyAlignment="1" pivotButton="0" quotePrefix="0" xfId="0">
      <alignment horizontal="left"/>
    </xf>
    <xf numFmtId="1" fontId="47" fillId="0" borderId="30" applyAlignment="1" pivotButton="0" quotePrefix="0" xfId="3">
      <alignment horizontal="center"/>
    </xf>
    <xf numFmtId="4" fontId="47" fillId="0" borderId="30" applyAlignment="1" pivotButton="0" quotePrefix="0" xfId="3">
      <alignment horizontal="center"/>
    </xf>
    <xf numFmtId="176" fontId="43" fillId="0" borderId="30" applyAlignment="1" pivotButton="0" quotePrefix="0" xfId="2">
      <alignment horizontal="left"/>
    </xf>
    <xf numFmtId="182" fontId="47" fillId="0" borderId="30" applyAlignment="1" pivotButton="0" quotePrefix="0" xfId="3">
      <alignment horizontal="center"/>
    </xf>
    <xf numFmtId="0" fontId="47" fillId="0" borderId="30" applyAlignment="1" pivotButton="0" quotePrefix="0" xfId="3">
      <alignment horizontal="center"/>
    </xf>
    <xf numFmtId="168" fontId="47" fillId="0" borderId="31" applyAlignment="1" pivotButton="0" quotePrefix="0" xfId="3">
      <alignment horizontal="center"/>
    </xf>
    <xf numFmtId="4" fontId="42" fillId="21" borderId="30" applyAlignment="1" pivotButton="0" quotePrefix="0" xfId="3">
      <alignment horizontal="center"/>
    </xf>
    <xf numFmtId="179" fontId="42" fillId="21" borderId="30" applyAlignment="1" pivotButton="0" quotePrefix="0" xfId="3">
      <alignment horizontal="center"/>
    </xf>
    <xf numFmtId="4" fontId="43" fillId="21" borderId="30" applyAlignment="1" pivotButton="0" quotePrefix="0" xfId="3">
      <alignment horizontal="center"/>
    </xf>
    <xf numFmtId="179" fontId="43" fillId="21" borderId="30" applyAlignment="1" pivotButton="0" quotePrefix="0" xfId="3">
      <alignment horizontal="center"/>
    </xf>
    <xf numFmtId="180" fontId="43" fillId="21" borderId="30" applyAlignment="1" pivotButton="0" quotePrefix="0" xfId="3">
      <alignment horizontal="center"/>
    </xf>
    <xf numFmtId="0" fontId="43" fillId="21" borderId="30" applyAlignment="1" pivotButton="0" quotePrefix="0" xfId="3">
      <alignment horizontal="center"/>
    </xf>
    <xf numFmtId="180" fontId="43" fillId="0" borderId="30" applyAlignment="1" pivotButton="0" quotePrefix="0" xfId="3">
      <alignment horizontal="center"/>
    </xf>
    <xf numFmtId="4" fontId="48" fillId="0" borderId="30" applyAlignment="1" pivotButton="0" quotePrefix="0" xfId="3">
      <alignment horizontal="center"/>
    </xf>
    <xf numFmtId="9" fontId="48" fillId="0" borderId="30" applyAlignment="1" pivotButton="0" quotePrefix="0" xfId="3">
      <alignment horizontal="center"/>
    </xf>
    <xf numFmtId="183" fontId="48" fillId="0" borderId="30" applyAlignment="1" pivotButton="0" quotePrefix="0" xfId="3">
      <alignment horizontal="center"/>
    </xf>
    <xf numFmtId="181" fontId="43" fillId="0" borderId="0" applyAlignment="1" pivotButton="0" quotePrefix="0" xfId="3">
      <alignment horizontal="center" vertical="center"/>
    </xf>
    <xf numFmtId="10" fontId="47" fillId="0" borderId="30" applyAlignment="1" pivotButton="0" quotePrefix="0" xfId="3">
      <alignment horizontal="left" vertical="center"/>
    </xf>
    <xf numFmtId="4" fontId="47" fillId="0" borderId="30" applyAlignment="1" pivotButton="0" quotePrefix="0" xfId="3">
      <alignment horizontal="center" vertical="center"/>
    </xf>
    <xf numFmtId="167" fontId="47" fillId="0" borderId="30" applyAlignment="1" pivotButton="0" quotePrefix="0" xfId="3">
      <alignment horizontal="left" vertical="center"/>
    </xf>
    <xf numFmtId="10" fontId="43" fillId="0" borderId="30" applyAlignment="1" pivotButton="0" quotePrefix="0" xfId="3">
      <alignment horizontal="left" vertical="center"/>
    </xf>
    <xf numFmtId="4" fontId="43" fillId="0" borderId="30" applyAlignment="1" pivotButton="0" quotePrefix="0" xfId="3">
      <alignment horizontal="center" vertical="center"/>
    </xf>
    <xf numFmtId="181" fontId="43" fillId="0" borderId="30" applyAlignment="1" pivotButton="0" quotePrefix="0" xfId="3">
      <alignment horizontal="left" vertical="center"/>
    </xf>
    <xf numFmtId="2" fontId="43" fillId="0" borderId="30" applyAlignment="1" pivotButton="0" quotePrefix="0" xfId="3">
      <alignment horizontal="left" vertical="center"/>
    </xf>
    <xf numFmtId="167" fontId="43" fillId="0" borderId="30" applyAlignment="1" pivotButton="0" quotePrefix="0" xfId="3">
      <alignment horizontal="left" vertical="center"/>
    </xf>
    <xf numFmtId="182" fontId="47" fillId="0" borderId="30" applyAlignment="1" pivotButton="0" quotePrefix="0" xfId="3">
      <alignment horizontal="center" vertical="center"/>
    </xf>
    <xf numFmtId="0" fontId="0" fillId="0" borderId="0" pivotButton="0" quotePrefix="0" xfId="0"/>
    <xf numFmtId="0" fontId="42" fillId="20" borderId="32" applyAlignment="1" pivotButton="0" quotePrefix="0" xfId="3">
      <alignment horizontal="left" wrapText="1"/>
    </xf>
    <xf numFmtId="0" fontId="42" fillId="20" borderId="29" applyAlignment="1" pivotButton="0" quotePrefix="0" xfId="3">
      <alignment horizontal="center" wrapText="1"/>
    </xf>
    <xf numFmtId="0" fontId="49" fillId="0" borderId="0" applyAlignment="1" pivotButton="0" quotePrefix="0" xfId="3">
      <alignment horizontal="left"/>
    </xf>
    <xf numFmtId="4" fontId="43" fillId="24" borderId="8" applyAlignment="1" pivotButton="0" quotePrefix="0" xfId="3">
      <alignment horizontal="center" vertical="center"/>
    </xf>
    <xf numFmtId="4" fontId="43" fillId="22" borderId="8" applyAlignment="1" pivotButton="0" quotePrefix="0" xfId="3">
      <alignment horizontal="center" vertical="center"/>
    </xf>
    <xf numFmtId="4" fontId="43" fillId="26" borderId="12" applyAlignment="1" pivotButton="0" quotePrefix="0" xfId="3">
      <alignment horizontal="center" vertical="center"/>
    </xf>
    <xf numFmtId="179" fontId="43" fillId="24" borderId="9" applyAlignment="1" pivotButton="0" quotePrefix="0" xfId="3">
      <alignment horizontal="center" vertical="center"/>
    </xf>
    <xf numFmtId="179" fontId="43" fillId="22" borderId="9" applyAlignment="1" pivotButton="0" quotePrefix="0" xfId="3">
      <alignment horizontal="center" vertical="center"/>
    </xf>
    <xf numFmtId="179" fontId="43" fillId="26" borderId="13" applyAlignment="1" pivotButton="0" quotePrefix="0" xfId="3">
      <alignment horizontal="center" vertical="center"/>
    </xf>
    <xf numFmtId="10" fontId="32" fillId="27" borderId="12" applyAlignment="1" pivotButton="0" quotePrefix="0" xfId="3">
      <alignment horizontal="center" vertical="center"/>
    </xf>
    <xf numFmtId="177" fontId="32" fillId="27" borderId="12" applyAlignment="1" pivotButton="0" quotePrefix="0" xfId="3">
      <alignment horizontal="center" vertical="center"/>
    </xf>
    <xf numFmtId="182" fontId="47" fillId="24" borderId="8" applyAlignment="1" pivotButton="0" quotePrefix="0" xfId="3">
      <alignment horizontal="center" vertical="center"/>
    </xf>
    <xf numFmtId="182" fontId="47" fillId="22" borderId="8" applyAlignment="1" pivotButton="0" quotePrefix="0" xfId="3">
      <alignment horizontal="center" vertical="center"/>
    </xf>
    <xf numFmtId="182" fontId="47" fillId="26" borderId="12" applyAlignment="1" pivotButton="0" quotePrefix="0" xfId="3">
      <alignment horizontal="center" vertical="center"/>
    </xf>
    <xf numFmtId="10" fontId="38" fillId="17" borderId="8" applyAlignment="1" pivotButton="0" quotePrefix="0" xfId="3">
      <alignment horizontal="left" vertical="center"/>
    </xf>
    <xf numFmtId="168" fontId="32" fillId="20" borderId="8" applyAlignment="1" pivotButton="0" quotePrefix="0" xfId="3">
      <alignment horizontal="center" vertical="center"/>
    </xf>
    <xf numFmtId="9" fontId="32" fillId="20" borderId="8" applyAlignment="1" pivotButton="0" quotePrefix="0" xfId="3">
      <alignment horizontal="center" vertical="center"/>
    </xf>
    <xf numFmtId="0" fontId="4" fillId="20" borderId="8" applyAlignment="1" pivotButton="0" quotePrefix="0" xfId="0">
      <alignment horizontal="center" vertical="center" wrapText="1"/>
    </xf>
    <xf numFmtId="0" fontId="4" fillId="20" borderId="9" applyAlignment="1" pivotButton="0" quotePrefix="0" xfId="0">
      <alignment horizontal="center" vertical="center" wrapText="1"/>
    </xf>
    <xf numFmtId="0" fontId="8" fillId="17" borderId="8" applyAlignment="1" pivotButton="0" quotePrefix="0" xfId="3">
      <alignment horizontal="center" vertical="center" wrapText="1"/>
    </xf>
    <xf numFmtId="182" fontId="47" fillId="26" borderId="8" applyAlignment="1" pivotButton="0" quotePrefix="0" xfId="3">
      <alignment horizontal="center" vertical="center"/>
    </xf>
    <xf numFmtId="4" fontId="43" fillId="26" borderId="8" applyAlignment="1" pivotButton="0" quotePrefix="0" xfId="3">
      <alignment horizontal="center" vertical="center"/>
    </xf>
    <xf numFmtId="179" fontId="43" fillId="26" borderId="9" applyAlignment="1" pivotButton="0" quotePrefix="0" xfId="3">
      <alignment horizontal="center" vertical="center"/>
    </xf>
    <xf numFmtId="4" fontId="41" fillId="2" borderId="8" applyAlignment="1" pivotButton="0" quotePrefix="0" xfId="3">
      <alignment horizontal="center" vertical="center"/>
    </xf>
    <xf numFmtId="4" fontId="41" fillId="2" borderId="9" applyAlignment="1" pivotButton="0" quotePrefix="0" xfId="3">
      <alignment horizontal="center" vertical="center"/>
    </xf>
    <xf numFmtId="0" fontId="0" fillId="0" borderId="1" pivotButton="0" quotePrefix="0" xfId="0"/>
    <xf numFmtId="0" fontId="0" fillId="0" borderId="39" pivotButton="0" quotePrefix="0" xfId="0"/>
    <xf numFmtId="0" fontId="0" fillId="0" borderId="41" pivotButton="0" quotePrefix="0" xfId="0"/>
    <xf numFmtId="0" fontId="0" fillId="0" borderId="34" pivotButton="0" quotePrefix="0" xfId="0"/>
    <xf numFmtId="0" fontId="0" fillId="0" borderId="36" pivotButton="0" quotePrefix="0" xfId="0"/>
    <xf numFmtId="0" fontId="0" fillId="0" borderId="37" pivotButton="0" quotePrefix="0" xfId="0"/>
    <xf numFmtId="0" fontId="0" fillId="0" borderId="14" pivotButton="0" quotePrefix="0" xfId="0"/>
    <xf numFmtId="0" fontId="0" fillId="0" borderId="42" pivotButton="0" quotePrefix="0" xfId="0"/>
    <xf numFmtId="0" fontId="0" fillId="0" borderId="15" pivotButton="0" quotePrefix="0" xfId="0"/>
    <xf numFmtId="0" fontId="0" fillId="0" borderId="26" pivotButton="0" quotePrefix="0" xfId="0"/>
    <xf numFmtId="164" fontId="0" fillId="8" borderId="7" applyAlignment="1" applyProtection="1" pivotButton="0" quotePrefix="0" xfId="0">
      <alignment horizontal="left" vertical="center" wrapText="1"/>
      <protection locked="0" hidden="0"/>
    </xf>
    <xf numFmtId="164" fontId="0" fillId="8" borderId="8" applyAlignment="1" applyProtection="1" pivotButton="0" quotePrefix="0" xfId="0">
      <alignment horizontal="left" vertical="center" wrapText="1"/>
      <protection locked="0" hidden="0"/>
    </xf>
    <xf numFmtId="0" fontId="0" fillId="0" borderId="40" pivotButton="0" quotePrefix="0" xfId="0"/>
    <xf numFmtId="164" fontId="0" fillId="2" borderId="0" applyAlignment="1" applyProtection="1" pivotButton="0" quotePrefix="0" xfId="0">
      <alignment horizontal="left" vertical="center" wrapText="1"/>
      <protection locked="0" hidden="0"/>
    </xf>
    <xf numFmtId="164" fontId="0" fillId="2" borderId="0" applyAlignment="1" pivotButton="0" quotePrefix="0" xfId="0">
      <alignment horizontal="left" vertical="center" wrapText="1"/>
    </xf>
    <xf numFmtId="166" fontId="0" fillId="2" borderId="0" applyAlignment="1" pivotButton="0" quotePrefix="0" xfId="0">
      <alignment horizontal="left"/>
    </xf>
    <xf numFmtId="164" fontId="0" fillId="2" borderId="0" applyAlignment="1" pivotButton="0" quotePrefix="0" xfId="0">
      <alignment horizontal="left"/>
    </xf>
    <xf numFmtId="167" fontId="9" fillId="2" borderId="8" applyAlignment="1" pivotButton="0" quotePrefix="0" xfId="3">
      <alignment horizontal="center" vertical="center"/>
    </xf>
    <xf numFmtId="168" fontId="9" fillId="0" borderId="8" applyAlignment="1" pivotButton="0" quotePrefix="0" xfId="3">
      <alignment horizontal="center" vertical="center"/>
    </xf>
    <xf numFmtId="169" fontId="9" fillId="2" borderId="8" applyAlignment="1" pivotButton="0" quotePrefix="0" xfId="3">
      <alignment horizontal="center" vertical="center"/>
    </xf>
    <xf numFmtId="168" fontId="9" fillId="2" borderId="8" applyAlignment="1" pivotButton="0" quotePrefix="0" xfId="3">
      <alignment horizontal="center" vertical="center"/>
    </xf>
    <xf numFmtId="169" fontId="9" fillId="2" borderId="8" applyAlignment="1" pivotButton="0" quotePrefix="0" xfId="3">
      <alignment horizontal="center"/>
    </xf>
    <xf numFmtId="169" fontId="12" fillId="2" borderId="8" applyAlignment="1" pivotButton="0" quotePrefix="0" xfId="3">
      <alignment horizontal="center"/>
    </xf>
    <xf numFmtId="167" fontId="9" fillId="2" borderId="12" applyAlignment="1" pivotButton="0" quotePrefix="0" xfId="3">
      <alignment horizontal="center" vertical="center"/>
    </xf>
    <xf numFmtId="168" fontId="9" fillId="2" borderId="12" applyAlignment="1" pivotButton="0" quotePrefix="0" xfId="3">
      <alignment horizontal="center" vertical="center"/>
    </xf>
    <xf numFmtId="169" fontId="12" fillId="2" borderId="12" applyAlignment="1" pivotButton="0" quotePrefix="0" xfId="3">
      <alignment horizontal="center"/>
    </xf>
    <xf numFmtId="167" fontId="9" fillId="2" borderId="14" applyAlignment="1" pivotButton="0" quotePrefix="0" xfId="3">
      <alignment horizontal="center" vertical="center"/>
    </xf>
    <xf numFmtId="168" fontId="9" fillId="2" borderId="14" applyAlignment="1" pivotButton="0" quotePrefix="0" xfId="3">
      <alignment horizontal="center" vertical="center"/>
    </xf>
    <xf numFmtId="169" fontId="12" fillId="2" borderId="14" applyAlignment="1" pivotButton="0" quotePrefix="0" xfId="3">
      <alignment horizontal="center"/>
    </xf>
    <xf numFmtId="169" fontId="9" fillId="0" borderId="0" applyAlignment="1" pivotButton="0" quotePrefix="0" xfId="3">
      <alignment horizontal="center" vertical="center"/>
    </xf>
    <xf numFmtId="167" fontId="6" fillId="2" borderId="0" applyAlignment="1" pivotButton="0" quotePrefix="0" xfId="3">
      <alignment horizontal="center"/>
    </xf>
    <xf numFmtId="167" fontId="9" fillId="0" borderId="16" applyAlignment="1" pivotButton="0" quotePrefix="0" xfId="3">
      <alignment horizontal="center" vertical="center"/>
    </xf>
    <xf numFmtId="167" fontId="10" fillId="2" borderId="18" applyAlignment="1" applyProtection="1" pivotButton="0" quotePrefix="0" xfId="3">
      <alignment horizontal="center" vertical="center"/>
      <protection locked="0" hidden="0"/>
    </xf>
    <xf numFmtId="167" fontId="6" fillId="2" borderId="0" applyAlignment="1" applyProtection="1" pivotButton="0" quotePrefix="0" xfId="3">
      <alignment horizontal="center" vertical="center"/>
      <protection locked="0" hidden="0"/>
    </xf>
    <xf numFmtId="168" fontId="32" fillId="20" borderId="8" applyAlignment="1" pivotButton="0" quotePrefix="0" xfId="3">
      <alignment horizontal="center" vertical="center"/>
    </xf>
    <xf numFmtId="168" fontId="29" fillId="23" borderId="8" applyAlignment="1" pivotButton="0" quotePrefix="0" xfId="3">
      <alignment horizontal="center" vertical="center"/>
    </xf>
    <xf numFmtId="177" fontId="29" fillId="23" borderId="8" applyAlignment="1" pivotButton="0" quotePrefix="0" xfId="3">
      <alignment horizontal="center" vertical="center"/>
    </xf>
    <xf numFmtId="182" fontId="47" fillId="24" borderId="8" applyAlignment="1" pivotButton="0" quotePrefix="0" xfId="3">
      <alignment horizontal="center" vertical="center"/>
    </xf>
    <xf numFmtId="179" fontId="43" fillId="24" borderId="9" applyAlignment="1" pivotButton="0" quotePrefix="0" xfId="3">
      <alignment horizontal="center" vertical="center"/>
    </xf>
    <xf numFmtId="177" fontId="29" fillId="22" borderId="8" applyAlignment="1" pivotButton="0" quotePrefix="0" xfId="3">
      <alignment horizontal="center" vertical="center"/>
    </xf>
    <xf numFmtId="182" fontId="47" fillId="22" borderId="8" applyAlignment="1" pivotButton="0" quotePrefix="0" xfId="3">
      <alignment horizontal="center" vertical="center"/>
    </xf>
    <xf numFmtId="179" fontId="43" fillId="22" borderId="9" applyAlignment="1" pivotButton="0" quotePrefix="0" xfId="3">
      <alignment horizontal="center" vertical="center"/>
    </xf>
    <xf numFmtId="167" fontId="29" fillId="25" borderId="8" applyAlignment="1" pivotButton="0" quotePrefix="0" xfId="3">
      <alignment horizontal="center" vertical="center"/>
    </xf>
    <xf numFmtId="177" fontId="29" fillId="25" borderId="8" applyAlignment="1" pivotButton="0" quotePrefix="0" xfId="3">
      <alignment horizontal="center" vertical="center"/>
    </xf>
    <xf numFmtId="182" fontId="47" fillId="26" borderId="8" applyAlignment="1" pivotButton="0" quotePrefix="0" xfId="3">
      <alignment horizontal="center" vertical="center"/>
    </xf>
    <xf numFmtId="179" fontId="43" fillId="26" borderId="9" applyAlignment="1" pivotButton="0" quotePrefix="0" xfId="3">
      <alignment horizontal="center" vertical="center"/>
    </xf>
    <xf numFmtId="167" fontId="29" fillId="17" borderId="8" applyAlignment="1" pivotButton="0" quotePrefix="0" xfId="3">
      <alignment horizontal="center" vertical="center"/>
    </xf>
    <xf numFmtId="177" fontId="29" fillId="17" borderId="8" applyAlignment="1" pivotButton="0" quotePrefix="0" xfId="3">
      <alignment horizontal="center" vertical="center"/>
    </xf>
    <xf numFmtId="167" fontId="29" fillId="23" borderId="8" applyAlignment="1" pivotButton="0" quotePrefix="0" xfId="3">
      <alignment horizontal="center" vertical="center"/>
    </xf>
    <xf numFmtId="167" fontId="32" fillId="22" borderId="8" applyAlignment="1" pivotButton="0" quotePrefix="0" xfId="3">
      <alignment horizontal="center" vertical="center"/>
    </xf>
    <xf numFmtId="177" fontId="32" fillId="22" borderId="8" applyAlignment="1" pivotButton="0" quotePrefix="0" xfId="3">
      <alignment horizontal="center" vertical="center"/>
    </xf>
    <xf numFmtId="177" fontId="32" fillId="27" borderId="12" applyAlignment="1" pivotButton="0" quotePrefix="0" xfId="3">
      <alignment horizontal="center" vertical="center"/>
    </xf>
    <xf numFmtId="182" fontId="47" fillId="26" borderId="12" applyAlignment="1" pivotButton="0" quotePrefix="0" xfId="3">
      <alignment horizontal="center" vertical="center"/>
    </xf>
    <xf numFmtId="179" fontId="43" fillId="26" borderId="13" applyAlignment="1" pivotButton="0" quotePrefix="0" xfId="3">
      <alignment horizontal="center" vertical="center"/>
    </xf>
    <xf numFmtId="176" fontId="6" fillId="17" borderId="0" applyAlignment="1" applyProtection="1" pivotButton="0" quotePrefix="0" xfId="3">
      <alignment horizontal="center" vertical="center"/>
      <protection locked="0" hidden="0"/>
    </xf>
    <xf numFmtId="167" fontId="6" fillId="2" borderId="0" applyAlignment="1" pivotButton="0" quotePrefix="0" xfId="3">
      <alignment horizontal="center" vertical="center"/>
    </xf>
    <xf numFmtId="167" fontId="8" fillId="18" borderId="0" applyAlignment="1" pivotButton="0" quotePrefix="0" xfId="3">
      <alignment horizontal="center" vertical="center"/>
    </xf>
    <xf numFmtId="167" fontId="44" fillId="0" borderId="0" applyAlignment="1" applyProtection="1" pivotButton="0" quotePrefix="0" xfId="3">
      <alignment horizontal="left" vertical="center"/>
      <protection locked="0" hidden="0"/>
    </xf>
    <xf numFmtId="167" fontId="43" fillId="0" borderId="0" applyAlignment="1" pivotButton="0" quotePrefix="0" xfId="3">
      <alignment horizontal="center" vertical="center"/>
    </xf>
    <xf numFmtId="167" fontId="46" fillId="28" borderId="0" applyAlignment="1" pivotButton="0" quotePrefix="0" xfId="3">
      <alignment horizontal="center" vertical="center"/>
    </xf>
    <xf numFmtId="167" fontId="43" fillId="0" borderId="0" applyAlignment="1" pivotButton="0" quotePrefix="0" xfId="3">
      <alignment horizontal="center"/>
    </xf>
    <xf numFmtId="168" fontId="47" fillId="0" borderId="30" applyAlignment="1" pivotButton="0" quotePrefix="0" xfId="3">
      <alignment horizontal="center"/>
    </xf>
    <xf numFmtId="182" fontId="47" fillId="0" borderId="30" applyAlignment="1" pivotButton="0" quotePrefix="0" xfId="3">
      <alignment horizontal="center"/>
    </xf>
    <xf numFmtId="181" fontId="43" fillId="0" borderId="0" applyAlignment="1" pivotButton="0" quotePrefix="0" xfId="3">
      <alignment horizontal="center" vertical="center"/>
    </xf>
    <xf numFmtId="167" fontId="42" fillId="20" borderId="30" applyAlignment="1" pivotButton="0" quotePrefix="0" xfId="3">
      <alignment horizontal="center" vertical="center" wrapText="1"/>
    </xf>
    <xf numFmtId="179" fontId="43" fillId="0" borderId="30" applyAlignment="1" pivotButton="0" quotePrefix="0" xfId="3">
      <alignment horizontal="center"/>
    </xf>
    <xf numFmtId="168" fontId="43" fillId="0" borderId="30" applyAlignment="1" pivotButton="0" quotePrefix="0" xfId="3">
      <alignment horizontal="center"/>
    </xf>
    <xf numFmtId="168" fontId="48" fillId="0" borderId="30" applyAlignment="1" pivotButton="0" quotePrefix="0" xfId="3">
      <alignment horizontal="center"/>
    </xf>
    <xf numFmtId="167" fontId="47" fillId="0" borderId="30" applyAlignment="1" pivotButton="0" quotePrefix="0" xfId="3">
      <alignment horizontal="left" vertical="center"/>
    </xf>
    <xf numFmtId="168" fontId="42" fillId="0" borderId="30" applyAlignment="1" pivotButton="0" quotePrefix="0" xfId="3">
      <alignment horizontal="center"/>
    </xf>
    <xf numFmtId="179" fontId="42" fillId="0" borderId="30" applyAlignment="1" pivotButton="0" quotePrefix="0" xfId="3">
      <alignment horizontal="center"/>
    </xf>
    <xf numFmtId="181" fontId="43" fillId="0" borderId="30" applyAlignment="1" pivotButton="0" quotePrefix="0" xfId="3">
      <alignment horizontal="left" vertical="center"/>
    </xf>
    <xf numFmtId="0" fontId="0" fillId="0" borderId="32" pivotButton="0" quotePrefix="0" xfId="0"/>
    <xf numFmtId="167" fontId="43" fillId="0" borderId="30" applyAlignment="1" pivotButton="0" quotePrefix="0" xfId="3">
      <alignment horizontal="left" vertical="center"/>
    </xf>
    <xf numFmtId="168" fontId="42" fillId="21" borderId="30" applyAlignment="1" pivotButton="0" quotePrefix="0" xfId="3">
      <alignment horizontal="center" vertical="center"/>
    </xf>
    <xf numFmtId="180" fontId="42" fillId="21" borderId="30" applyAlignment="1" pivotButton="0" quotePrefix="0" xfId="3">
      <alignment horizontal="center"/>
    </xf>
    <xf numFmtId="180" fontId="42" fillId="21" borderId="30" applyAlignment="1" pivotButton="0" quotePrefix="0" xfId="3">
      <alignment horizontal="center" vertical="center"/>
    </xf>
    <xf numFmtId="181" fontId="43" fillId="0" borderId="30" applyAlignment="1" pivotButton="0" quotePrefix="0" xfId="1">
      <alignment horizontal="left"/>
    </xf>
    <xf numFmtId="168" fontId="43" fillId="0" borderId="30" applyAlignment="1" pivotButton="0" quotePrefix="0" xfId="1">
      <alignment horizontal="center"/>
    </xf>
    <xf numFmtId="178" fontId="43" fillId="0" borderId="0" applyAlignment="1" pivotButton="0" quotePrefix="0" xfId="0">
      <alignment horizontal="center"/>
    </xf>
    <xf numFmtId="178" fontId="46" fillId="28" borderId="0" applyAlignment="1" pivotButton="0" quotePrefix="0" xfId="0">
      <alignment horizontal="left"/>
    </xf>
    <xf numFmtId="178" fontId="43" fillId="0" borderId="30" applyAlignment="1" pivotButton="0" quotePrefix="0" xfId="0">
      <alignment horizontal="left"/>
    </xf>
    <xf numFmtId="176" fontId="43" fillId="0" borderId="30" applyAlignment="1" pivotButton="0" quotePrefix="0" xfId="2">
      <alignment horizontal="left"/>
    </xf>
    <xf numFmtId="182" fontId="47" fillId="0" borderId="30" applyAlignment="1" pivotButton="0" quotePrefix="0" xfId="3">
      <alignment horizontal="center" vertical="center"/>
    </xf>
    <xf numFmtId="168" fontId="47" fillId="0" borderId="31" applyAlignment="1" pivotButton="0" quotePrefix="0" xfId="3">
      <alignment horizontal="center"/>
    </xf>
    <xf numFmtId="179" fontId="42" fillId="21" borderId="30" applyAlignment="1" pivotButton="0" quotePrefix="0" xfId="3">
      <alignment horizontal="center"/>
    </xf>
    <xf numFmtId="179" fontId="43" fillId="21" borderId="30" applyAlignment="1" pivotButton="0" quotePrefix="0" xfId="3">
      <alignment horizontal="center"/>
    </xf>
    <xf numFmtId="180" fontId="43" fillId="21" borderId="30" applyAlignment="1" pivotButton="0" quotePrefix="0" xfId="3">
      <alignment horizontal="center"/>
    </xf>
    <xf numFmtId="180" fontId="43" fillId="0" borderId="30" applyAlignment="1" pivotButton="0" quotePrefix="0" xfId="3">
      <alignment horizontal="center"/>
    </xf>
    <xf numFmtId="183" fontId="48" fillId="0" borderId="30" applyAlignment="1" pivotButton="0" quotePrefix="0" xfId="3">
      <alignment horizontal="center"/>
    </xf>
    <xf numFmtId="170" fontId="20" fillId="0" borderId="0" pivotButton="0" quotePrefix="0" xfId="0"/>
    <xf numFmtId="168" fontId="21" fillId="11" borderId="0" pivotButton="0" quotePrefix="0" xfId="0"/>
    <xf numFmtId="168" fontId="10" fillId="0" borderId="0" pivotButton="0" quotePrefix="0" xfId="0"/>
    <xf numFmtId="171" fontId="19" fillId="0" borderId="0" pivotButton="0" quotePrefix="0" xfId="0"/>
    <xf numFmtId="172" fontId="20" fillId="0" borderId="0" pivotButton="0" quotePrefix="0" xfId="0"/>
    <xf numFmtId="168" fontId="19" fillId="0" borderId="0" pivotButton="0" quotePrefix="0" xfId="0"/>
    <xf numFmtId="171" fontId="20" fillId="0" borderId="0" pivotButton="0" quotePrefix="0" xfId="0"/>
    <xf numFmtId="168" fontId="20" fillId="0" borderId="0" pivotButton="0" quotePrefix="0" xfId="0"/>
    <xf numFmtId="168" fontId="36" fillId="0" borderId="0" applyAlignment="1" pivotButton="0" quotePrefix="0" xfId="0">
      <alignment horizontal="center" vertical="center" wrapText="1"/>
    </xf>
    <xf numFmtId="168" fontId="10" fillId="11" borderId="0" pivotButton="0" quotePrefix="0" xfId="0"/>
    <xf numFmtId="171" fontId="10" fillId="11" borderId="0" pivotButton="0" quotePrefix="0" xfId="0"/>
    <xf numFmtId="168" fontId="22" fillId="0" borderId="0" pivotButton="0" quotePrefix="0" xfId="0"/>
    <xf numFmtId="170" fontId="19" fillId="0" borderId="0" pivotButton="0" quotePrefix="0" xfId="0"/>
    <xf numFmtId="170" fontId="22" fillId="0" borderId="0" pivotButton="0" quotePrefix="0" xfId="0"/>
    <xf numFmtId="168" fontId="22" fillId="9" borderId="0" pivotButton="0" quotePrefix="0" xfId="0"/>
    <xf numFmtId="170" fontId="22" fillId="9" borderId="0" pivotButton="0" quotePrefix="0" xfId="0"/>
    <xf numFmtId="173" fontId="22" fillId="9" borderId="0" pivotButton="0" quotePrefix="0" xfId="0"/>
    <xf numFmtId="173" fontId="19" fillId="0" borderId="0" pivotButton="0" quotePrefix="0" xfId="0"/>
    <xf numFmtId="171" fontId="22" fillId="0" borderId="0" pivotButton="0" quotePrefix="0" xfId="0"/>
    <xf numFmtId="172" fontId="10" fillId="11" borderId="0" pivotButton="0" quotePrefix="0" xfId="0"/>
    <xf numFmtId="172" fontId="19" fillId="0" borderId="0" pivotButton="0" quotePrefix="0" xfId="0"/>
    <xf numFmtId="175" fontId="2" fillId="0" borderId="0" applyAlignment="1" pivotButton="0" quotePrefix="0" xfId="0">
      <alignment vertical="center" wrapText="1"/>
    </xf>
    <xf numFmtId="172" fontId="14" fillId="0" borderId="21" applyAlignment="1" pivotButton="0" quotePrefix="0" xfId="0">
      <alignment vertical="center" wrapText="1"/>
    </xf>
    <xf numFmtId="172" fontId="2" fillId="0" borderId="20" applyAlignment="1" pivotButton="0" quotePrefix="0" xfId="0">
      <alignment vertical="center" wrapText="1"/>
    </xf>
    <xf numFmtId="172" fontId="14" fillId="15" borderId="23" applyAlignment="1" pivotButton="0" quotePrefix="0" xfId="0">
      <alignment vertical="center" wrapText="1"/>
    </xf>
    <xf numFmtId="172" fontId="2" fillId="0" borderId="21" applyAlignment="1" pivotButton="0" quotePrefix="0" xfId="0">
      <alignment vertical="center" wrapText="1"/>
    </xf>
    <xf numFmtId="172" fontId="2" fillId="0" borderId="19" applyAlignment="1" pivotButton="0" quotePrefix="0" xfId="0">
      <alignment vertical="center" wrapText="1"/>
    </xf>
    <xf numFmtId="172" fontId="14" fillId="15" borderId="19" applyAlignment="1" pivotButton="0" quotePrefix="0" xfId="0">
      <alignment vertical="center" wrapText="1"/>
    </xf>
    <xf numFmtId="172" fontId="14" fillId="15" borderId="21" applyAlignment="1" pivotButton="0" quotePrefix="0" xfId="0">
      <alignment vertical="center" wrapText="1"/>
    </xf>
    <xf numFmtId="172" fontId="2" fillId="0" borderId="14" applyAlignment="1" pivotButton="0" quotePrefix="0" xfId="0">
      <alignment vertical="center" wrapText="1"/>
    </xf>
    <xf numFmtId="172" fontId="2" fillId="0" borderId="8" applyAlignment="1" pivotButton="0" quotePrefix="0" xfId="0">
      <alignment vertical="center" wrapText="1"/>
    </xf>
    <xf numFmtId="172" fontId="2" fillId="0" borderId="10" applyAlignment="1" pivotButton="0" quotePrefix="0" xfId="0">
      <alignment vertical="center" wrapText="1"/>
    </xf>
    <xf numFmtId="172" fontId="14" fillId="15" borderId="8" applyAlignment="1" pivotButton="0" quotePrefix="0" xfId="0">
      <alignment vertical="center" wrapText="1"/>
    </xf>
    <xf numFmtId="172" fontId="14" fillId="15" borderId="10" applyAlignment="1" pivotButton="0" quotePrefix="0" xfId="0">
      <alignment vertical="center" wrapText="1"/>
    </xf>
    <xf numFmtId="172" fontId="14" fillId="15" borderId="24" applyAlignment="1" pivotButton="0" quotePrefix="0" xfId="0">
      <alignment vertical="center" wrapText="1"/>
    </xf>
    <xf numFmtId="172" fontId="0" fillId="0" borderId="22" pivotButton="0" quotePrefix="0" xfId="0"/>
    <xf numFmtId="172" fontId="0" fillId="0" borderId="8" applyAlignment="1" pivotButton="0" quotePrefix="0" xfId="0">
      <alignment wrapText="1"/>
    </xf>
    <xf numFmtId="172" fontId="2" fillId="0" borderId="24" applyAlignment="1" pivotButton="0" quotePrefix="0" xfId="0">
      <alignment vertical="center" wrapText="1"/>
    </xf>
    <xf numFmtId="172" fontId="0" fillId="0" borderId="24" applyAlignment="1" pivotButton="0" quotePrefix="0" xfId="0">
      <alignment wrapText="1"/>
    </xf>
    <xf numFmtId="172" fontId="23" fillId="0" borderId="0" pivotButton="0" quotePrefix="0" xfId="0"/>
    <xf numFmtId="172" fontId="22" fillId="0" borderId="0" pivotButton="0" quotePrefix="0" xfId="0"/>
    <xf numFmtId="172" fontId="19" fillId="12" borderId="0" pivotButton="0" quotePrefix="0" xfId="0"/>
    <xf numFmtId="174" fontId="20" fillId="0" borderId="0" pivotButton="0" quotePrefix="0" xfId="0"/>
    <xf numFmtId="174" fontId="19" fillId="0" borderId="0" pivotButton="0" quotePrefix="0" xfId="0"/>
    <xf numFmtId="170" fontId="23" fillId="0" borderId="0" pivotButton="0" quotePrefix="0" xfId="0"/>
    <xf numFmtId="168" fontId="19" fillId="12" borderId="0" pivotButton="0" quotePrefix="0" xfId="0"/>
    <xf numFmtId="172" fontId="23" fillId="16" borderId="0" pivotButton="0" quotePrefix="0" xfId="0"/>
    <xf numFmtId="172" fontId="22" fillId="16" borderId="0" pivotButton="0" quotePrefix="0" xfId="0"/>
    <xf numFmtId="172" fontId="29" fillId="0" borderId="0" pivotButton="0" quotePrefix="0" xfId="0"/>
    <xf numFmtId="172" fontId="32" fillId="15" borderId="26" pivotButton="0" quotePrefix="0" xfId="0"/>
    <xf numFmtId="168" fontId="29" fillId="0" borderId="0" pivotButton="0" quotePrefix="0" xfId="0"/>
    <xf numFmtId="168" fontId="32" fillId="15" borderId="0" pivotButton="0" quotePrefix="0" xfId="0"/>
    <xf numFmtId="168" fontId="32" fillId="15" borderId="28" pivotButton="0" quotePrefix="0" xfId="0"/>
    <xf numFmtId="172" fontId="32" fillId="15" borderId="0" pivotButton="0" quotePrefix="0" xfId="0"/>
  </cellXfs>
  <cellStyles count="5">
    <cellStyle name="Normal" xfId="0" builtinId="0"/>
    <cellStyle name="Porcentaje" xfId="1" builtinId="5"/>
    <cellStyle name="Millares 2" xfId="2"/>
    <cellStyle name="Normal 2" xfId="3"/>
    <cellStyle name="Porcentaje 2" xfId="4"/>
  </cellStyles>
  <dxfs count="15">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dxf>
    <dxf>
      <font>
        <color theme="6"/>
      </font>
    </dxf>
    <dxf>
      <font>
        <color rgb="FFFF9900"/>
      </font>
    </dxf>
    <dxf>
      <font>
        <color rgb="FF4EA72E"/>
      </font>
    </dxf>
    <dxf>
      <font>
        <color rgb="FF9C0006"/>
      </font>
    </dxf>
    <dxf>
      <font>
        <color rgb="FF4EA72E"/>
      </font>
    </dxf>
    <dxf>
      <font>
        <color rgb="FF9C0006"/>
      </font>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D9E1F2"/>
      <rgbColor rgb="FF8B8B8B"/>
      <rgbColor rgb="FF9999FF"/>
      <rgbColor rgb="FF993366"/>
      <rgbColor rgb="FFFFF2CC"/>
      <rgbColor rgb="FFDC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6EFCE"/>
      <rgbColor rgb="FFD9F2D0"/>
      <rgbColor rgb="FFFFFF99"/>
      <rgbColor rgb="FFC1E5F5"/>
      <rgbColor rgb="FFFFC7CE"/>
      <rgbColor rgb="FFF2CFEE"/>
      <rgbColor rgb="FFF6C6AD"/>
      <rgbColor rgb="FF3366FF"/>
      <rgbColor rgb="FF33CCCC"/>
      <rgbColor rgb="FF99CC00"/>
      <rgbColor rgb="FFFBE3D6"/>
      <rgbColor rgb="FFFF9900"/>
      <rgbColor rgb="FFE97132"/>
      <rgbColor rgb="FF595959"/>
      <rgbColor rgb="FF969696"/>
      <rgbColor rgb="FF1F3864"/>
      <rgbColor rgb="FF4EA72E"/>
      <rgbColor rgb="FF0061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ptos Narrow"/>
              </a:defRPr>
            </a:pPr>
            <a:r>
              <a:rPr sz="1800" b="1" strike="noStrike" spc="-1">
                <a:solidFill>
                  <a:srgbClr val="000000"/>
                </a:solidFill>
                <a:latin typeface="Aptos Narrow"/>
              </a:rPr>
              <a:t>Múltiplo de salida requerido frente a la referencia</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Escenarios!$C$140</f>
              <strCache>
                <ptCount val="1"/>
                <pt idx="0">
                  <v>Requerido</v>
                </pt>
              </strCache>
            </strRef>
          </tx>
          <spPr>
            <a:ln xmlns:a="http://schemas.openxmlformats.org/drawingml/2006/main" w="38160">
              <a:solidFill>
                <a:srgbClr val="15608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s-ES"/>
              </a:p>
            </txPr>
            <showLegendKey val="0"/>
            <showVal val="0"/>
            <showCatName val="0"/>
            <showSerName val="0"/>
            <showPercent val="0"/>
            <showBubbleSize val="1"/>
            <showLeaderLines val="0"/>
          </dLbls>
          <cat>
            <numRef>
              <f>Escenarios!$D$135:$M$135</f>
              <numCache>
                <formatCode>0</formatCode>
                <ptCount val="10"/>
                <pt idx="0">
                  <v>1</v>
                </pt>
                <pt idx="1">
                  <v>2</v>
                </pt>
                <pt idx="2">
                  <v>3</v>
                </pt>
                <pt idx="3">
                  <v>4</v>
                </pt>
                <pt idx="4">
                  <v>5</v>
                </pt>
                <pt idx="5">
                  <v>6</v>
                </pt>
                <pt idx="6">
                  <v>7</v>
                </pt>
                <pt idx="7">
                  <v>8</v>
                </pt>
                <pt idx="8">
                  <v>9</v>
                </pt>
                <pt idx="9">
                  <v>10</v>
                </pt>
              </numCache>
            </numRef>
          </cat>
          <val>
            <numRef>
              <f>Escenarios!$D$140:$M$140</f>
              <numCache>
                <formatCode>0.0\x</formatCode>
                <ptCount val="10"/>
                <pt idx="0">
                  <v>13.13624441376874</v>
                </pt>
                <pt idx="1">
                  <v>12.12455616499821</v>
                </pt>
                <pt idx="2">
                  <v>11.27638444576255</v>
                </pt>
                <pt idx="3">
                  <v>10.56923735638752</v>
                </pt>
                <pt idx="4">
                  <v>9.985254715918144</v>
                </pt>
                <pt idx="5">
                  <v>9.394077986682598</v>
                </pt>
                <pt idx="6">
                  <v>8.909861292716963</v>
                </pt>
                <pt idx="7">
                  <v>8.521233584344362</v>
                </pt>
                <pt idx="8">
                  <v>8.219604964044656</v>
                </pt>
                <pt idx="9">
                  <v>7.998817481758473</v>
                </pt>
              </numCache>
            </numRef>
          </val>
          <smooth val="1"/>
        </ser>
        <ser>
          <idx val="1"/>
          <order val="1"/>
          <tx>
            <strRef>
              <f>Escenarios!$C$141</f>
              <strCache>
                <ptCount val="1"/>
                <pt idx="0">
                  <v>Referencia</v>
                </pt>
              </strCache>
            </strRef>
          </tx>
          <spPr>
            <a:ln xmlns:a="http://schemas.openxmlformats.org/drawingml/2006/main" w="38160">
              <a:solidFill>
                <a:srgbClr val="E9713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es-ES"/>
              </a:p>
            </txPr>
            <showLegendKey val="0"/>
            <showVal val="0"/>
            <showCatName val="0"/>
            <showSerName val="0"/>
            <showPercent val="0"/>
            <showBubbleSize val="1"/>
            <showLeaderLines val="0"/>
          </dLbls>
          <cat>
            <numRef>
              <f>Escenarios!$D$135:$M$135</f>
              <numCache>
                <formatCode>0</formatCode>
                <ptCount val="10"/>
                <pt idx="0">
                  <v>1</v>
                </pt>
                <pt idx="1">
                  <v>2</v>
                </pt>
                <pt idx="2">
                  <v>3</v>
                </pt>
                <pt idx="3">
                  <v>4</v>
                </pt>
                <pt idx="4">
                  <v>5</v>
                </pt>
                <pt idx="5">
                  <v>6</v>
                </pt>
                <pt idx="6">
                  <v>7</v>
                </pt>
                <pt idx="7">
                  <v>8</v>
                </pt>
                <pt idx="8">
                  <v>9</v>
                </pt>
                <pt idx="9">
                  <v>10</v>
                </pt>
              </numCache>
            </numRef>
          </cat>
          <val>
            <numRef>
              <f>Escenarios!$D$141:$M$141</f>
              <numCache>
                <formatCode>0.0\x</formatCode>
                <ptCount val="10"/>
                <pt idx="0">
                  <v>15.6005152151169</v>
                </pt>
                <pt idx="1">
                  <v>15.6005152151169</v>
                </pt>
                <pt idx="2">
                  <v>15.6005152151169</v>
                </pt>
                <pt idx="3">
                  <v>15.6005152151169</v>
                </pt>
                <pt idx="4">
                  <v>15.6005152151169</v>
                </pt>
                <pt idx="5">
                  <v>15.6005152151169</v>
                </pt>
                <pt idx="6">
                  <v>15.6005152151169</v>
                </pt>
                <pt idx="7">
                  <v>15.6005152151169</v>
                </pt>
                <pt idx="8">
                  <v>15.6005152151169</v>
                </pt>
                <pt idx="9">
                  <v>15.6005152151169</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63784161"/>
        <axId val="52780777"/>
      </lineChart>
      <catAx>
        <axId val="63784161"/>
        <scaling>
          <orientation val="minMax"/>
        </scaling>
        <delete val="0"/>
        <axPos val="b"/>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Aptos Narrow"/>
                  </a:defRPr>
                </a:pPr>
                <a:r>
                  <a:rPr sz="1000" b="1" strike="noStrike" spc="-1">
                    <a:solidFill>
                      <a:srgbClr val="000000"/>
                    </a:solidFill>
                    <a:latin typeface="Aptos Narrow"/>
                  </a:rPr>
                  <a:t>Año</a:t>
                </a:r>
              </a:p>
            </rich>
          </tx>
          <overlay val="0"/>
          <spPr>
            <a:noFill xmlns:a="http://schemas.openxmlformats.org/drawingml/2006/main"/>
            <a:ln xmlns:a="http://schemas.openxmlformats.org/drawingml/2006/main" w="0">
              <a:noFill/>
              <a:prstDash val="solid"/>
            </a:ln>
          </spPr>
        </title>
        <numFmt formatCode="0" sourceLinked="1"/>
        <majorTickMark val="none"/>
        <minorTickMark val="none"/>
        <tickLblPos val="nextTo"/>
        <spPr>
          <a:ln xmlns:a="http://schemas.openxmlformats.org/drawingml/2006/main" w="1260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ptos Narrow"/>
              </a:defRPr>
            </a:pPr>
            <a:r>
              <a:t/>
            </a:r>
            <a:endParaRPr lang="es-ES"/>
          </a:p>
        </txPr>
        <crossAx val="52780777"/>
        <crosses val="autoZero"/>
        <auto val="1"/>
        <lblAlgn val="ctr"/>
        <lblOffset val="100"/>
        <noMultiLvlLbl val="0"/>
      </catAx>
      <valAx>
        <axId val="52780777"/>
        <scaling>
          <orientation val="minMax"/>
        </scaling>
        <delete val="0"/>
        <axPos val="l"/>
        <majorGridlines>
          <spPr>
            <a:ln xmlns:a="http://schemas.openxmlformats.org/drawingml/2006/main" w="12600">
              <a:solidFill>
                <a:srgbClr val="8B8B8B"/>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Aptos Narrow"/>
                  </a:defRPr>
                </a:pPr>
                <a:r>
                  <a:rPr sz="1000" b="1" strike="noStrike" spc="-1">
                    <a:solidFill>
                      <a:srgbClr val="000000"/>
                    </a:solidFill>
                    <a:latin typeface="Aptos Narrow"/>
                  </a:rPr>
                  <a:t>PER</a:t>
                </a:r>
              </a:p>
            </rich>
          </tx>
          <overlay val="0"/>
          <spPr>
            <a:noFill xmlns:a="http://schemas.openxmlformats.org/drawingml/2006/main"/>
            <a:ln xmlns:a="http://schemas.openxmlformats.org/drawingml/2006/main" w="0">
              <a:noFill/>
              <a:prstDash val="solid"/>
            </a:ln>
          </spPr>
        </title>
        <numFmt formatCode="0.0\x" sourceLinked="1"/>
        <majorTickMark val="none"/>
        <minorTickMark val="none"/>
        <tickLblPos val="nextTo"/>
        <spPr>
          <a:ln xmlns:a="http://schemas.openxmlformats.org/drawingml/2006/main" w="12600">
            <a:solidFill>
              <a:srgbClr val="8B8B8B"/>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ptos Narrow"/>
              </a:defRPr>
            </a:pPr>
            <a:r>
              <a:t/>
            </a:r>
            <a:endParaRPr lang="es-ES"/>
          </a:p>
        </txPr>
        <crossAx val="6378416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ptos Narrow"/>
            </a:defRPr>
          </a:pPr>
          <a:r>
            <a:t/>
          </a:r>
          <a:endParaRPr lang="es-E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Unknown Author</author>
  </authors>
  <commentList>
    <comment ref="C1" authorId="0" shapeId="0">
      <text>
        <t>Corregido (oct-2026): precio medio de cada ejercicio fiscal de Adobe (media de cierres diarios de Nasdaq, con las fechas de ejercicio de sus 10-K). FY2016: media del año natural 2016 (Macrotrends), porque no hay cierres diarios disponibles antes de oct-2016. Valores anteriores: 2016: 65, 2017: 61, 2018: 114, 2019: 180, 2020: 290, 2021: 372, 2022: 321, 2023: 374, 2024: 345, 2025: 250</t>
      </text>
    </comment>
    <comment ref="H1" authorId="0" shapeId="0">
      <text>
        <t>Corregido: la columna es precio / BPA, es decir, el PER. Antes se llamaba 'P/B'.</t>
      </text>
    </comment>
    <comment ref="I1" authorId="0" shapeId="0">
      <text>
        <t>Corregido: antes se dividían los dividendos totales (millones) entre el BPA. Ahora es dividendo por acción = dividendos totales / acciones diluidas.</t>
      </text>
    </comment>
    <comment ref="S1" authorId="0" shapeId="0">
      <text>
        <t>Corregido: acciones diluidas en todos los años (2016-2018 usaban las básicas).</t>
      </text>
    </comment>
    <comment ref="D25" authorId="0" shapeId="0">
      <text>
        <t>Cierre del 05-10-2026 (Nasdaq). Antes: 250.</t>
      </text>
    </comment>
    <comment ref="A61" authorId="0" shapeId="0">
      <text>
        <t>Corregido: en este bloque las rentabilidades usaban los precios del bloque anterior y tres precios multiplicaban BPA por BPA (C75, B79, C79).</t>
      </text>
    </comment>
  </commentList>
</comments>
</file>

<file path=xl/comments/comment2.xml><?xml version="1.0" encoding="utf-8"?>
<comments xmlns="http://schemas.openxmlformats.org/spreadsheetml/2006/main">
  <authors>
    <author>Unknown Author</author>
  </authors>
  <commentList>
    <comment ref="G65" authorId="0" shapeId="0">
      <text>
        <t>PER justificado = (1 − g/ROE) × (1 + g) / (r − g), con g = crecimiento del año 10 del escenario (limitado a r − 3 puntos) y ROE = ROE medio de 5 años. Es el múltiplo coherente con una empresa madura que reparte lo que no necesita reinvertir (g = b × ROE). El PER histórico se muestra debajo solo como control de plausibilidad.</t>
      </text>
    </comment>
  </commentList>
</comments>
</file>

<file path=xl/comments/comment3.xml><?xml version="1.0" encoding="utf-8"?>
<comments xmlns="http://schemas.openxmlformats.org/spreadsheetml/2006/main">
  <authors>
    <author>BackOffice 4</author>
  </authors>
  <commentList>
    <comment ref="B30" authorId="0" shapeId="0">
      <text>
        <t>Supuesto: vida útil típica del I+D en software/tecnología. Referencia: A. Damodaran, metodología de capitalización de I+D (amortización lineal a 5 años para el sector Software).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0</colOff>
      <row>145</row>
      <rowOff>160560</rowOff>
    </from>
    <to>
      <col>2</col>
      <colOff>167760</colOff>
      <row>160</row>
      <rowOff>2880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K68"/>
  <sheetViews>
    <sheetView zoomScale="90" zoomScaleNormal="90" workbookViewId="0">
      <selection activeCell="G35" sqref="G35"/>
    </sheetView>
  </sheetViews>
  <sheetFormatPr baseColWidth="10" defaultColWidth="11.42578125" defaultRowHeight="15"/>
  <cols>
    <col width="9.7109375" customWidth="1" style="377" min="1" max="1"/>
    <col width="8.42578125" customWidth="1" style="377" min="2" max="2"/>
    <col width="15.85546875" customWidth="1" style="377" min="3" max="3"/>
    <col width="26.28515625" customWidth="1" style="377" min="4" max="4"/>
    <col width="6.28515625" customWidth="1" style="377" min="5" max="5"/>
    <col width="105.28515625" customWidth="1" style="377" min="6" max="6"/>
    <col width="65.140625" customWidth="1" style="377" min="7" max="7"/>
    <col width="8" customWidth="1" style="3" min="8" max="8"/>
    <col width="4.140625" customWidth="1" style="377" min="9" max="9"/>
    <col width="14.5703125" customWidth="1" style="377" min="10" max="10"/>
  </cols>
  <sheetData>
    <row r="1" ht="30.75" customHeight="1" s="377">
      <c r="A1" s="265" t="n"/>
      <c r="C1" s="403" t="n"/>
      <c r="D1" s="265" t="n"/>
      <c r="E1" s="4" t="inlineStr">
        <is>
          <t>Nota (/1)</t>
        </is>
      </c>
      <c r="F1" s="4" t="inlineStr">
        <is>
          <t>Factor</t>
        </is>
      </c>
      <c r="G1" s="4" t="n"/>
      <c r="H1" s="5" t="n"/>
    </row>
    <row r="2" ht="28.5" customHeight="1" s="377">
      <c r="A2" s="266">
        <f>(B2+B22)/2</f>
        <v/>
      </c>
      <c r="B2" s="267">
        <f>(E2+E8+E10+E12+E16+E19)/6</f>
        <v/>
      </c>
      <c r="C2" s="268" t="inlineStr">
        <is>
          <t>Operativo</t>
        </is>
      </c>
      <c r="D2" s="269" t="inlineStr">
        <is>
          <t>(¿cómo se gana dinero hoy?)</t>
        </is>
      </c>
      <c r="E2" s="272">
        <f>((SUM(H2:H7)/COUNT(H2:H7))/3)*10</f>
        <v/>
      </c>
      <c r="F2" s="6" t="inlineStr">
        <is>
          <t>¿Tiene la empresa un monopolio del consumidor fácilmente identificable?</t>
        </is>
      </c>
      <c r="G2" s="7" t="n"/>
      <c r="H2" s="8">
        <f>IF(G2="Marca conocida pero con competencia",1,IF(G2="Marca conocida y poca competencia",2,IF(G2="Marca conocida con clientes cautivos (barreras de salida)",3,0)))</f>
        <v/>
      </c>
    </row>
    <row r="3">
      <c r="A3" s="404" t="n"/>
      <c r="B3" s="405" t="n"/>
      <c r="C3" s="403" t="n"/>
      <c r="D3" s="406" t="n"/>
      <c r="E3" s="406" t="n"/>
      <c r="F3" s="9" t="inlineStr">
        <is>
          <t>¿Es el I+D fundamental para el crecimiento?</t>
        </is>
      </c>
      <c r="G3" s="10" t="n"/>
      <c r="H3" s="11">
        <f>IF(G3="Totalmente esencial",1,IF(G3="Necesario para mantenerse",2,IF(G3="No esencial pero aporta valor",3,0)))</f>
        <v/>
      </c>
    </row>
    <row r="4">
      <c r="A4" s="404" t="n"/>
      <c r="B4" s="405" t="n"/>
      <c r="C4" s="403" t="n"/>
      <c r="D4" s="406" t="n"/>
      <c r="E4" s="406" t="n"/>
      <c r="F4" s="9" t="inlineStr">
        <is>
          <t>¿Puede ajustar precios según la inflación?</t>
        </is>
      </c>
      <c r="G4" s="10" t="n"/>
      <c r="H4" s="11">
        <f>IF(G4="No, compite por precio",1,IF(G4="Limitadamente",2,IF(G4="Sí, total pricing power",3,0)))</f>
        <v/>
      </c>
    </row>
    <row r="5">
      <c r="A5" s="404" t="n"/>
      <c r="B5" s="405" t="n"/>
      <c r="C5" s="403" t="n"/>
      <c r="D5" s="406" t="n"/>
      <c r="E5" s="406" t="n"/>
      <c r="F5" s="12" t="inlineStr">
        <is>
          <t>¿Tiene poder de compra frente a proveedores?</t>
        </is>
      </c>
      <c r="G5" s="10" t="n"/>
      <c r="H5" s="11">
        <f>IF(G5="No, proveedores dominantes",1,IF(G5="Tiene alternativas pero sin poder de negociación",2,IF(G5="Sí, fuerte poder de compra",3,0)))</f>
        <v/>
      </c>
    </row>
    <row r="6">
      <c r="A6" s="404" t="n"/>
      <c r="B6" s="405" t="n"/>
      <c r="C6" s="403" t="n"/>
      <c r="D6" s="406" t="n"/>
      <c r="E6" s="406" t="n"/>
      <c r="F6" s="12" t="inlineStr">
        <is>
          <t>¿Tiene poder de fijación de precios frente a clientes?</t>
        </is>
      </c>
      <c r="G6" s="10" t="n"/>
      <c r="H6" s="11">
        <f>IF(G6="No, clientes dominan",1,IF(G6="Sí, por diferenciación",2,IF(G6="Sí, casi sin competencia",3,0)))</f>
        <v/>
      </c>
    </row>
    <row r="7" ht="15.75" customHeight="1" s="377">
      <c r="A7" s="404" t="n"/>
      <c r="B7" s="405" t="n"/>
      <c r="C7" s="407" t="n"/>
      <c r="D7" s="408" t="n"/>
      <c r="E7" s="409" t="n"/>
      <c r="F7" s="13" t="inlineStr">
        <is>
          <t>¿Existen productos sustitutivos en recesión?</t>
        </is>
      </c>
      <c r="G7" s="14" t="n"/>
      <c r="H7" s="15">
        <f>IF(G7="Sí, muchos",1,IF(G7="Algunos pero diferenciados",2,IF(G7="No, valor añadido muy alto",3,0)))</f>
        <v/>
      </c>
    </row>
    <row r="8" ht="42.75" customHeight="1" s="377">
      <c r="A8" s="404" t="n"/>
      <c r="B8" s="405" t="n"/>
      <c r="C8" s="268" t="inlineStr">
        <is>
          <t>Producto</t>
        </is>
      </c>
      <c r="D8" s="269" t="inlineStr">
        <is>
          <t>(¿hay futuro?)</t>
        </is>
      </c>
      <c r="E8" s="273">
        <f>((SUM(H8:H9)/COUNT(H8:H9)/3)*10)</f>
        <v/>
      </c>
      <c r="F8" s="6" t="inlineStr">
        <is>
          <t>¿Ofrece la empresa productos o servicios con el suficiente potencial comercial como para hacer posible un incremento considerable de las ventas durante al menos varios años?</t>
        </is>
      </c>
      <c r="G8" s="7" t="n"/>
      <c r="H8" s="8">
        <f>IF(G8="No, los productos actuales están llegando a su madurez.",1,IF(G8="Sí, pero requieren innovación o expansión geográfica para sostener el crecimiento.",2,IF(G8="Sí, los productos tienen largo recorrido y existen nuevas categorías con potencial.",3,0)))</f>
        <v/>
      </c>
    </row>
    <row r="9" ht="30.75" customHeight="1" s="377">
      <c r="A9" s="404" t="n"/>
      <c r="B9" s="405" t="n"/>
      <c r="C9" s="407" t="n"/>
      <c r="D9" s="408" t="n"/>
      <c r="E9" s="406" t="n"/>
      <c r="F9" s="13" t="inlineStr">
        <is>
          <t>¿Está la dirección decidida a desarrollar productos o procesos que sigan aumentando las ventas cuando las líneas actuales se saturen?</t>
        </is>
      </c>
      <c r="G9" s="14" t="n"/>
      <c r="H9" s="15">
        <f>IF(G9="No, la empresa se apoya en su catálogo actual sin un plan claro de innovación.",1,IF(G9="Moderadamente, hay nuevos proyectos pero sin una estrategia definida.",2,IF(G9="Sí, existe una política activa de desarrollo continuo de nuevos productos y procesos.",3,0)))</f>
        <v/>
      </c>
    </row>
    <row r="10" ht="30" customHeight="1" s="377">
      <c r="A10" s="404" t="n"/>
      <c r="B10" s="405" t="n"/>
      <c r="C10" s="268" t="inlineStr">
        <is>
          <t>Dirección</t>
        </is>
      </c>
      <c r="D10" s="269" t="inlineStr">
        <is>
          <t>(¿se puede confiar en quien ejecuta?)</t>
        </is>
      </c>
      <c r="E10" s="273">
        <f>((SUM(H10:H11)/COUNT(H10:H11)/3)*10)</f>
        <v/>
      </c>
      <c r="F10" s="16" t="inlineStr">
        <is>
          <t>¿Cuánto tiempo llevan los directores en la compañía? ¿Existe un líder clave?</t>
        </is>
      </c>
      <c r="G10" s="7" t="n"/>
      <c r="H10" s="8">
        <f>IF(G10="Alta rotación o liderazgo inestable.",1,IF(G10="Equipo con cierta continuidad pero sin Massia",2,IF(G10="Dirección estable, con liderazgo claro y trayectoria demostrada In-house.",3,0)))</f>
        <v/>
      </c>
    </row>
    <row r="11" ht="15.75" customHeight="1" s="377">
      <c r="A11" s="404" t="n"/>
      <c r="B11" s="405" t="n"/>
      <c r="C11" s="407" t="n"/>
      <c r="D11" s="408" t="n"/>
      <c r="E11" s="406" t="n"/>
      <c r="F11" s="17" t="inlineStr">
        <is>
          <t>¿Tiene la empresa un equipo directivo con una integridad incuestionable, transparencia y velando por los accionistas?</t>
        </is>
      </c>
      <c r="G11" s="14" t="n"/>
      <c r="H11" s="15">
        <f>IF(G11="Dudas sobre la transparencia o el gobierno corporativo.",1,IF(G11="Integridad razonable pero con áreas mejorables.",2,IF(G11="Alta integridad y alineación con los accionistas.",3,0)))</f>
        <v/>
      </c>
    </row>
    <row r="12" ht="30" customHeight="1" s="377">
      <c r="A12" s="404" t="n"/>
      <c r="B12" s="405" t="n"/>
      <c r="C12" s="268" t="inlineStr">
        <is>
          <t>Estrategia</t>
        </is>
      </c>
      <c r="D12" s="269" t="inlineStr">
        <is>
          <t>(¿tiene plan para escalar?)</t>
        </is>
      </c>
      <c r="E12" s="274">
        <f>((((SUM(H12:H15)/4))/3)*10)</f>
        <v/>
      </c>
      <c r="F12" s="16" t="inlineStr">
        <is>
          <t>¿Es la estrategia de marketing vital, innovadora y efectiva para el negocio?</t>
        </is>
      </c>
      <c r="G12" s="7" t="n"/>
      <c r="H12" s="8">
        <f>IF(G12="Estrategia convencional, sin diferenciación.",1,IF(G12="Estrategia sólida pero poco innovadora.",2,IF(G12="Estrategia claramente diferenciada e innovadora, con impacto demostrado.",3,0)))</f>
        <v/>
      </c>
    </row>
    <row r="13" ht="30" customHeight="1" s="377">
      <c r="A13" s="404" t="n"/>
      <c r="B13" s="405" t="n"/>
      <c r="C13" s="403" t="n"/>
      <c r="D13" s="406" t="n"/>
      <c r="E13" s="406" t="n"/>
      <c r="F13" s="12" t="inlineStr">
        <is>
          <t>¿Previsión a corto o a largo plazo en relación con los beneficios?</t>
        </is>
      </c>
      <c r="G13" s="10" t="n"/>
      <c r="H13" s="11">
        <f>IF(G13="Enfoque cortoplacista, centrado en resultados inmediatos.",1,IF(G13="Combina visión a corto y largo plazo sin una hoja de ruta clara.",2,IF(G13="Estrategia orientada al largo plazo, con objetivos definidos y consistentes.",3,0)))</f>
        <v/>
      </c>
    </row>
    <row r="14" ht="28.5" customHeight="1" s="377">
      <c r="A14" s="404" t="n"/>
      <c r="B14" s="405" t="n"/>
      <c r="C14" s="403" t="n"/>
      <c r="D14" s="406" t="n"/>
      <c r="E14" s="406" t="n"/>
      <c r="F14" s="12" t="inlineStr">
        <is>
          <t>¿Requerirá el crecimiento futuro de la empresa nuevas ampliaciones de capital?</t>
        </is>
      </c>
      <c r="G14" s="10" t="n"/>
      <c r="H14" s="11">
        <f>IF(G14="Sí, el crecimiento depende de financiación externa o emisiones.",1,IF(G14="Puede requerir financiación puntual o deuda moderada.",2,IF(G14="No, el crecimiento es autofinanciado mediante generación de caja.",3,0)))</f>
        <v/>
      </c>
    </row>
    <row r="15" ht="15.75" customHeight="1" s="377">
      <c r="A15" s="404" t="n"/>
      <c r="B15" s="405" t="n"/>
      <c r="C15" s="407" t="n"/>
      <c r="D15" s="408" t="n"/>
      <c r="E15" s="408" t="n"/>
      <c r="F15" s="18" t="inlineStr">
        <is>
          <t>¿Han sido capaces de cumplir con objetivos pasados?</t>
        </is>
      </c>
      <c r="G15" s="19" t="n"/>
      <c r="H15" s="20">
        <f>IF(G15="No, y no han rectificado expectativas",1,IF(G15="Se han quedado cerca, analizado el motivo y rectificado",2,IF(G15="Si, cumplen su plan de crecimiento.",3,0)))</f>
        <v/>
      </c>
    </row>
    <row r="16" ht="15" customHeight="1" s="377">
      <c r="A16" s="404" t="n"/>
      <c r="B16" s="405" t="n"/>
      <c r="C16" s="268" t="inlineStr">
        <is>
          <t>Valores y cultura</t>
        </is>
      </c>
      <c r="D16" s="269" t="inlineStr">
        <is>
          <t>(¿la empresa puede perdurar con su cultura?)</t>
        </is>
      </c>
      <c r="E16" s="273">
        <f>((((SUM(H16:H18)/3))/3)*10)</f>
        <v/>
      </c>
      <c r="F16" s="6" t="inlineStr">
        <is>
          <t>¿Son los valores corporativos auténticos o una simple herramienta de marketing?</t>
        </is>
      </c>
      <c r="G16" s="7" t="n"/>
      <c r="H16" s="8">
        <f>IF(G16="Valores principalmente cosméticos o inconsistentes con las acciones.",1,IF(G16="Mezcla de comunicación y realidad empresarial.",2,IF(G16="Valores auténticos e integrados en la cultura corporativa.",3,0)))</f>
        <v/>
      </c>
    </row>
    <row r="17">
      <c r="A17" s="404" t="n"/>
      <c r="B17" s="405" t="n"/>
      <c r="C17" s="403" t="n"/>
      <c r="D17" s="406" t="n"/>
      <c r="E17" s="406" t="n"/>
      <c r="F17" s="9" t="inlineStr">
        <is>
          <t>¿Se preocupa la empresa por sus trabajadores?</t>
        </is>
      </c>
      <c r="G17" s="21" t="n"/>
      <c r="H17" s="11">
        <f>IF(G17="Alta rotación o mala reputación laboral.",1,IF(G17="Políticas laborales aceptables pero sin programas destacados.",2,IF(G17="Alta satisfacción, retención y desarrollo interno del talento.",3,0)))</f>
        <v/>
      </c>
    </row>
    <row r="18" ht="15.75" customHeight="1" s="377">
      <c r="A18" s="404" t="n"/>
      <c r="B18" s="405" t="n"/>
      <c r="C18" s="407" t="n"/>
      <c r="D18" s="408" t="n"/>
      <c r="E18" s="406" t="n"/>
      <c r="F18" s="13" t="inlineStr">
        <is>
          <t>¿Busca la empresa equilibrar rentabilidad económica y beneficio social?</t>
        </is>
      </c>
      <c r="G18" s="14" t="n"/>
      <c r="H18" s="15">
        <f>IF(G18="Enfocada únicamente en el beneficio financiero.",1,IF(G18="Tiene iniciativas sociales puntuales sin impacto significativo.",2,IF(G18="Integra sostenibilidad y propósito social en su modelo de negocio.",3,0)))</f>
        <v/>
      </c>
    </row>
    <row r="19" ht="14.25" customHeight="1" s="377">
      <c r="A19" s="404" t="n"/>
      <c r="B19" s="405" t="n"/>
      <c r="C19" s="275" t="inlineStr">
        <is>
          <t>Sector y posicionamiento</t>
        </is>
      </c>
      <c r="D19" s="276" t="inlineStr">
        <is>
          <t>(¿el viento sopla a favor?)</t>
        </is>
      </c>
      <c r="E19" s="273">
        <f>(((SUM(H19:H21)/3))/3)*10</f>
        <v/>
      </c>
      <c r="F19" s="16" t="inlineStr">
        <is>
          <t>¿Existen barreras de entrada o ventajas competitivas estructurales en su sector?</t>
        </is>
      </c>
      <c r="G19" s="7" t="n"/>
      <c r="H19" s="8">
        <f>IF(G19="Mercado abierto, fácil entrada de competidores.",1,IF(G19="Algunas barreras, principalmente de marca o distribución.",2,IF(G19="Altas barreras tecnológicas, de marca o capital intensivo.",3,0)))</f>
        <v/>
      </c>
    </row>
    <row r="20" ht="30" customHeight="1" s="377">
      <c r="A20" s="404" t="n"/>
      <c r="B20" s="405" t="n"/>
      <c r="C20" s="403" t="n"/>
      <c r="D20" s="406" t="n"/>
      <c r="E20" s="406" t="n"/>
      <c r="F20" s="12" t="inlineStr">
        <is>
          <t>¿Por qué es mejor que la competencia?</t>
        </is>
      </c>
      <c r="G20" s="10" t="n"/>
      <c r="H20" s="11">
        <f>IF(G20="Tiene ventajas parciales, pero comparables a sus rivales.",1,IF(G20="Posee ventajas sostenibles y diferenciales claras frente a la competencia.",2,IF(G20="No tiene competencia comparable.",3,0)))</f>
        <v/>
      </c>
    </row>
    <row r="21" ht="15.75" customHeight="1" s="377">
      <c r="A21" s="404" t="n"/>
      <c r="B21" s="410" t="n"/>
      <c r="C21" s="403" t="n"/>
      <c r="D21" s="406" t="n"/>
      <c r="E21" s="406" t="n"/>
      <c r="F21" s="13" t="inlineStr">
        <is>
          <t>¿Es un sector intensivo en capital? (CAPEX)</t>
        </is>
      </c>
      <c r="G21" s="14" t="n"/>
      <c r="H21" s="15">
        <f>IF(G21="Sí, requiere inversión constante",1,IF(G21="Moderado",2,IF(G21="No, depende de conocimiento o creatividad",3,0)))</f>
        <v/>
      </c>
    </row>
    <row r="22" ht="30" customHeight="1" s="377">
      <c r="A22" s="404" t="n"/>
      <c r="B22" s="270">
        <f>(E22+E28+E39)/3</f>
        <v/>
      </c>
      <c r="C22" s="271" t="inlineStr">
        <is>
          <t>PyG</t>
        </is>
      </c>
      <c r="D22" s="411" t="n"/>
      <c r="E22" s="272">
        <f>(((SUM(H22:H27)/6))*10)/3</f>
        <v/>
      </c>
      <c r="F22" s="16" t="inlineStr">
        <is>
          <t>Calidad del crecimiento de ingresos</t>
        </is>
      </c>
      <c r="G22" s="22" t="n"/>
      <c r="H22" s="8">
        <f>IF(G22="Crecimiento errático, cíclico o puntual",1,IF(G22="Crecimiento relativamente estable, con componentes estructurales y coyunturales",2,IF(G22="Crecimiento consistente, orgánico y apoyado en demanda recurrente o clara expansión de mercado.",3,0)))</f>
        <v/>
      </c>
    </row>
    <row r="23">
      <c r="A23" s="404" t="n"/>
      <c r="B23" s="405" t="n"/>
      <c r="D23" s="403" t="n"/>
      <c r="E23" s="406" t="n"/>
      <c r="F23" s="12" t="inlineStr">
        <is>
          <t>Defensabilidad del margen bruto</t>
        </is>
      </c>
      <c r="G23" s="23" t="n"/>
      <c r="H23" s="11">
        <f>IF(G23="Margen presionable",1,IF(G23="Margen razonable",2,IF(G23="Margen defensable",3,0)))</f>
        <v/>
      </c>
    </row>
    <row r="24">
      <c r="A24" s="404" t="n"/>
      <c r="B24" s="405" t="n"/>
      <c r="D24" s="403" t="n"/>
      <c r="E24" s="406" t="n"/>
      <c r="F24" s="9" t="inlineStr">
        <is>
          <t>Flexibilidad de la estructura de costes</t>
        </is>
      </c>
      <c r="G24" s="23" t="n"/>
      <c r="H24" s="11">
        <f>IF(G24="Costes rígidos",1,IF(G24="Costes mixtos",2,IF(G24="Costes flexibles",3,0)))</f>
        <v/>
      </c>
    </row>
    <row r="25">
      <c r="A25" s="404" t="n"/>
      <c r="B25" s="405" t="n"/>
      <c r="D25" s="403" t="n"/>
      <c r="E25" s="406" t="n"/>
      <c r="F25" s="12" t="inlineStr">
        <is>
          <t>Margen de beneficio neto</t>
        </is>
      </c>
      <c r="G25" s="23" t="n"/>
      <c r="H25" s="11">
        <f>IF(G25="Margen neto &lt; 15%",1,IF(G25="Margen neto entre 15% y 30%",2,IF(G25="Margen neto &gt; 30%",3,0)))</f>
        <v/>
      </c>
    </row>
    <row r="26">
      <c r="A26" s="404" t="n"/>
      <c r="B26" s="405" t="n"/>
      <c r="D26" s="403" t="n"/>
      <c r="E26" s="406" t="n"/>
      <c r="F26" s="12" t="inlineStr">
        <is>
          <t>Dependencia financiera y fiscal</t>
        </is>
      </c>
      <c r="G26" s="23" t="n"/>
      <c r="H26" s="11">
        <f>IF(G26="Alta dependencia",1,IF(G26="Dependencia moderada",2,IF(G26="Baja dependencia",3,0)))</f>
        <v/>
      </c>
    </row>
    <row r="27" ht="15.75" customHeight="1" s="377">
      <c r="A27" s="404" t="n"/>
      <c r="B27" s="405" t="n"/>
      <c r="D27" s="403" t="n"/>
      <c r="E27" s="409" t="n"/>
      <c r="F27" s="17" t="inlineStr">
        <is>
          <t>Consistencia del beneficio neto</t>
        </is>
      </c>
      <c r="G27" s="24" t="n"/>
      <c r="H27" s="15">
        <f>IF(G27="Beneficio volátil",1,IF(G27="Beneficio estable",2,IF(G27="Beneficio recurrente",3,0)))</f>
        <v/>
      </c>
    </row>
    <row r="28" ht="15" customHeight="1" s="377">
      <c r="A28" s="404" t="n"/>
      <c r="B28" s="405" t="n"/>
      <c r="C28" s="277" t="inlineStr">
        <is>
          <t>Balance</t>
        </is>
      </c>
      <c r="D28" s="411" t="n"/>
      <c r="E28" s="273">
        <f>(((SUM(H28:H38)/11))*10)/3</f>
        <v/>
      </c>
      <c r="F28" s="6" t="inlineStr">
        <is>
          <t>Evolución del efectivo y equivalentes</t>
        </is>
      </c>
      <c r="G28" s="25" t="n"/>
      <c r="H28" s="8">
        <f>IF(G28="Disminuye",1,IF(G28="Se mantiene",2,IF(G28="Aumenta",3,0)))</f>
        <v/>
      </c>
    </row>
    <row r="29">
      <c r="A29" s="404" t="n"/>
      <c r="B29" s="405" t="n"/>
      <c r="D29" s="403" t="n"/>
      <c r="E29" s="406" t="n"/>
      <c r="F29" s="12" t="inlineStr">
        <is>
          <t>Deuda ajustada / Equity</t>
        </is>
      </c>
      <c r="G29" s="26" t="n"/>
      <c r="H29" s="11">
        <f>IF(G29="Mayor a 0,8",1,IF(G29="Entre 0,6 y 0,8",2,IF(G29="Menor a 0,6",3,0)))</f>
        <v/>
      </c>
    </row>
    <row r="30">
      <c r="A30" s="404" t="n"/>
      <c r="B30" s="405" t="n"/>
      <c r="D30" s="403" t="n"/>
      <c r="E30" s="406" t="n"/>
      <c r="F30" s="12" t="inlineStr">
        <is>
          <t>Existencias vs crecimiento de ingresos</t>
        </is>
      </c>
      <c r="G30" s="26" t="n"/>
      <c r="H30" s="11">
        <f>IF(G30="Desalineadas o muy cíclicas",1,IF(G30="Ligera acumulación",2,IF(G30="Alineadas con el crecimiento",3,0)))</f>
        <v/>
      </c>
    </row>
    <row r="31">
      <c r="A31" s="404" t="n"/>
      <c r="B31" s="405" t="n"/>
      <c r="D31" s="403" t="n"/>
      <c r="E31" s="406" t="n"/>
      <c r="F31" s="12" t="inlineStr">
        <is>
          <t>Clientes / ventas anuales</t>
        </is>
      </c>
      <c r="G31" s="26" t="n"/>
      <c r="H31" s="11">
        <f>IF(G31="Mayor al 30%",1,IF(G31="Entre 15% y 30%",2,IF(G31="Menor al 15%",3,0)))</f>
        <v/>
      </c>
    </row>
    <row r="32">
      <c r="A32" s="404" t="n"/>
      <c r="B32" s="405" t="n"/>
      <c r="D32" s="403" t="n"/>
      <c r="E32" s="406" t="n"/>
      <c r="F32" s="12" t="inlineStr">
        <is>
          <t>Inmovilizado (PPE) sobre activo</t>
        </is>
      </c>
      <c r="G32" s="26" t="n"/>
      <c r="H32" s="11">
        <f>IF(G32="Mayor al 40%",1,IF(G32="Entre 20% y 40%",2,IF(G32="Menor al 20%",3,0)))</f>
        <v/>
      </c>
    </row>
    <row r="33">
      <c r="A33" s="404" t="n"/>
      <c r="B33" s="405" t="n"/>
      <c r="D33" s="403" t="n"/>
      <c r="E33" s="406" t="n"/>
      <c r="F33" s="12" t="inlineStr">
        <is>
          <t>Liquidez operativa vs pasivo corriente</t>
        </is>
      </c>
      <c r="G33" s="26" t="n"/>
      <c r="H33" s="11">
        <f>IF(G33="OCF insuficiente",1,IF(G33="Cobertura parcial",2,IF(G33="Cobertura holgada",3,0)))</f>
        <v/>
      </c>
    </row>
    <row r="34">
      <c r="A34" s="404" t="n"/>
      <c r="B34" s="405" t="n"/>
      <c r="D34" s="403" t="n"/>
      <c r="E34" s="406" t="n"/>
      <c r="F34" s="12" t="inlineStr">
        <is>
          <t>Repago deuda corto plazo con OCF</t>
        </is>
      </c>
      <c r="G34" s="26" t="n"/>
      <c r="H34" s="11">
        <f>IF(G34="Más de 2 años",1,IF(G34="Entre 1 y 2 años",2,IF(G34="Menos de 1 año",3,0)))</f>
        <v/>
      </c>
    </row>
    <row r="35">
      <c r="A35" s="404" t="n"/>
      <c r="B35" s="405" t="n"/>
      <c r="D35" s="403" t="n"/>
      <c r="E35" s="406" t="n"/>
      <c r="F35" s="12" t="inlineStr">
        <is>
          <t>Repago deuda largo plazo con OCF</t>
        </is>
      </c>
      <c r="G35" s="26" t="n"/>
      <c r="H35" s="11">
        <f>IF(G35="Más de 5 años",1,IF(G35="Entre 3 y 5 años",2,IF(G35="Menos de 3 años",3,0)))</f>
        <v/>
      </c>
    </row>
    <row r="36">
      <c r="A36" s="404" t="n"/>
      <c r="B36" s="405" t="n"/>
      <c r="D36" s="403" t="n"/>
      <c r="E36" s="406" t="n"/>
      <c r="F36" s="12" t="inlineStr">
        <is>
          <t>Tendencia del coeficiente de solvencia (5 años)</t>
        </is>
      </c>
      <c r="G36" s="26" t="n"/>
      <c r="H36" s="11">
        <f>IF(G36="Empeora",1,IF(G36="Se mantiene",2,IF(G36="Mejora",3,0)))</f>
        <v/>
      </c>
    </row>
    <row r="37">
      <c r="A37" s="404" t="n"/>
      <c r="B37" s="405" t="n"/>
      <c r="D37" s="403" t="n"/>
      <c r="E37" s="406" t="n"/>
      <c r="F37" s="12" t="inlineStr">
        <is>
          <t>Política de capital (acciones propias)</t>
        </is>
      </c>
      <c r="G37" s="26" t="n"/>
      <c r="H37" s="11">
        <f>IF(G37="Emite acciones",1,IF(G37="Ni emite ni recompra",2,IF(G37="Recompra acciones",3,0)))</f>
        <v/>
      </c>
    </row>
    <row r="38" ht="35.25" customHeight="1" s="377">
      <c r="A38" s="404" t="n"/>
      <c r="B38" s="405" t="n"/>
      <c r="C38" s="412" t="n"/>
      <c r="D38" s="407" t="n"/>
      <c r="E38" s="406" t="n"/>
      <c r="F38" s="17" t="inlineStr">
        <is>
          <t>ROE</t>
        </is>
      </c>
      <c r="G38" s="27" t="n"/>
      <c r="H38" s="15">
        <f>IF(G38="Menor al 15%",1,IF(G38="Entre 15% y 25%",2,IF(G38="Mayor al 25%",3,0)))</f>
        <v/>
      </c>
    </row>
    <row r="39" ht="28.5" customHeight="1" s="377">
      <c r="A39" s="404" t="n"/>
      <c r="B39" s="405" t="n"/>
      <c r="C39" s="277" t="inlineStr">
        <is>
          <t>Cash Flow</t>
        </is>
      </c>
      <c r="D39" s="411" t="n"/>
      <c r="E39" s="272">
        <f>(((SUM(H39:H44)/6))*10)/3</f>
        <v/>
      </c>
      <c r="F39" s="16" t="inlineStr">
        <is>
          <t>Flujo operativo vs beneficio neto</t>
        </is>
      </c>
      <c r="G39" s="413" t="n"/>
      <c r="H39" s="8">
        <f>IF(G39="Menor que el beneficio neto",1,IF(G39="Similar al beneficio neto",2,IF(G39="Mayor que el beneficio neto",3,0)))</f>
        <v/>
      </c>
    </row>
    <row r="40">
      <c r="A40" s="404" t="n"/>
      <c r="B40" s="405" t="n"/>
      <c r="D40" s="403" t="n"/>
      <c r="E40" s="406" t="n"/>
      <c r="F40" s="12" t="inlineStr">
        <is>
          <t>CAGR del flujo operativo vs CAGR del beneficio neto</t>
        </is>
      </c>
      <c r="G40" s="29" t="n"/>
      <c r="H40" s="11">
        <f>IF(G40="Menor",1,IF(G40="Similar",2,IF(G40="Mayor",3,0)))</f>
        <v/>
      </c>
    </row>
    <row r="41">
      <c r="A41" s="404" t="n"/>
      <c r="B41" s="405" t="n"/>
      <c r="D41" s="403" t="n"/>
      <c r="E41" s="406" t="n"/>
      <c r="F41" s="12" t="inlineStr">
        <is>
          <t>Capex sobre flujo operativo (últimos 5 años)</t>
        </is>
      </c>
      <c r="G41" s="414" t="n"/>
      <c r="H41" s="11">
        <f>IF(G41="Mayor al 50%",1,IF(G41="Entre 25% y 50%",2,IF(G41="Menor al 25%",3,0)))</f>
        <v/>
      </c>
    </row>
    <row r="42">
      <c r="A42" s="404" t="n"/>
      <c r="B42" s="405" t="n"/>
      <c r="D42" s="403" t="n"/>
      <c r="E42" s="406" t="n"/>
      <c r="F42" s="12" t="inlineStr">
        <is>
          <t>Amortiza deuda sin depender de nueva deuda</t>
        </is>
      </c>
      <c r="G42" s="29" t="n"/>
      <c r="H42" s="11">
        <f>IF(G42="Emite nueva deuda para repagar",1,IF(G42="Emite menos de lo que devuelve",2,IF(G42="No emite nueva deuda",3,0)))</f>
        <v/>
      </c>
    </row>
    <row r="43">
      <c r="A43" s="404" t="n"/>
      <c r="B43" s="405" t="n"/>
      <c r="D43" s="403" t="n"/>
      <c r="E43" s="406" t="n"/>
      <c r="F43" s="12" t="inlineStr">
        <is>
          <t>Política de capital (recompras / dilución)</t>
        </is>
      </c>
      <c r="G43" s="31" t="n"/>
      <c r="H43" s="11">
        <f>IF(G43="Emite acciones",1,IF(G43="Ni emite ni recompra",2,IF(G43="Recompra acciones",3,0)))</f>
        <v/>
      </c>
    </row>
    <row r="44" ht="15.75" customHeight="1" s="377">
      <c r="A44" s="415" t="n"/>
      <c r="B44" s="410" t="n"/>
      <c r="C44" s="412" t="n"/>
      <c r="D44" s="407" t="n"/>
      <c r="E44" s="409" t="n"/>
      <c r="F44" s="32" t="inlineStr">
        <is>
          <t>¿Cuánto del flujo operativo se convierte realmente en flujo de caja libre?</t>
        </is>
      </c>
      <c r="G44" s="33" t="n"/>
      <c r="H44" s="20">
        <f>IF(G44="FCF menor que el OCF",1,IF(G44="FCF similar al OCF",2,IF(G44="FCF cercano al OCF o igual al OCF",3,0)))</f>
        <v/>
      </c>
    </row>
    <row r="45">
      <c r="A45" s="34" t="n"/>
      <c r="B45" s="34" t="n"/>
      <c r="C45" s="34" t="n"/>
      <c r="D45" s="34" t="n"/>
      <c r="E45" s="34" t="n"/>
      <c r="F45" s="35" t="n"/>
      <c r="G45" s="36" t="n"/>
      <c r="H45" s="37" t="n"/>
      <c r="I45" s="38" t="n"/>
      <c r="J45" s="38" t="n"/>
    </row>
    <row r="46" ht="14.25" customHeight="1" s="377">
      <c r="A46" s="278" t="n"/>
      <c r="F46" s="35" t="n"/>
      <c r="G46" s="416" t="n"/>
      <c r="H46" s="37" t="n"/>
      <c r="I46" s="38" t="n"/>
      <c r="J46" s="38" t="n"/>
    </row>
    <row r="47">
      <c r="F47" s="35" t="n"/>
      <c r="G47" s="40" t="n"/>
      <c r="H47" s="37" t="n"/>
      <c r="I47" s="38" t="n"/>
      <c r="J47" s="38" t="n"/>
    </row>
    <row r="48">
      <c r="F48" s="35" t="n"/>
      <c r="G48" s="41" t="n"/>
      <c r="H48" s="37" t="n"/>
      <c r="I48" s="38" t="n"/>
      <c r="J48" s="38" t="n"/>
    </row>
    <row r="49">
      <c r="F49" s="35" t="n"/>
      <c r="G49" s="36" t="n"/>
      <c r="H49" s="37" t="n"/>
      <c r="I49" s="38" t="n"/>
      <c r="J49" s="38" t="n"/>
    </row>
    <row r="50">
      <c r="A50" s="278" t="n"/>
      <c r="F50" s="35" t="n"/>
      <c r="G50" s="36" t="n"/>
      <c r="H50" s="37" t="n"/>
      <c r="I50" s="38" t="n"/>
      <c r="J50" s="278" t="n"/>
    </row>
    <row r="51">
      <c r="F51" s="35" t="n"/>
      <c r="G51" s="416" t="n"/>
      <c r="H51" s="37" t="n"/>
      <c r="I51" s="38" t="n"/>
      <c r="J51" s="42" t="n"/>
    </row>
    <row r="52">
      <c r="F52" s="35" t="n"/>
      <c r="G52" s="416" t="n"/>
      <c r="H52" s="37" t="n"/>
      <c r="I52" s="38" t="n"/>
      <c r="J52" s="42" t="n"/>
    </row>
    <row r="53">
      <c r="F53" s="35" t="n"/>
      <c r="G53" s="36" t="n"/>
      <c r="H53" s="37" t="n"/>
      <c r="I53" s="38" t="n"/>
      <c r="J53" s="42" t="n"/>
    </row>
    <row r="54" ht="26.25" customHeight="1" s="377">
      <c r="F54" s="35" t="n"/>
      <c r="G54" s="417" t="n"/>
      <c r="H54" s="37" t="n"/>
      <c r="I54" s="38" t="n"/>
      <c r="J54" s="42" t="n"/>
    </row>
    <row r="55">
      <c r="A55" s="278" t="n"/>
      <c r="F55" s="35" t="n"/>
      <c r="G55" s="417" t="n"/>
      <c r="H55" s="37" t="n"/>
      <c r="I55" s="38" t="n"/>
      <c r="J55" s="42" t="n"/>
    </row>
    <row r="56">
      <c r="F56" s="35" t="n"/>
      <c r="G56" s="36" t="n"/>
      <c r="H56" s="37" t="n"/>
      <c r="I56" s="38" t="n"/>
      <c r="J56" s="42" t="n"/>
    </row>
    <row r="57">
      <c r="F57" s="35" t="n"/>
      <c r="G57" s="44" t="n"/>
      <c r="H57" s="37" t="n"/>
      <c r="I57" s="38" t="n"/>
      <c r="J57" s="42" t="n"/>
    </row>
    <row r="58">
      <c r="A58" s="279" t="n"/>
      <c r="F58" s="35" t="n"/>
      <c r="G58" s="45" t="n"/>
      <c r="I58" s="38" t="n"/>
      <c r="J58" s="42" t="n"/>
    </row>
    <row r="59">
      <c r="F59" s="35" t="n"/>
      <c r="G59" s="46" t="n"/>
      <c r="I59" s="38" t="n"/>
      <c r="J59" s="42" t="n"/>
    </row>
    <row r="60">
      <c r="F60" s="35" t="n"/>
      <c r="G60" s="47" t="n"/>
      <c r="I60" s="38" t="n"/>
      <c r="J60" s="42" t="n"/>
    </row>
    <row r="61">
      <c r="A61" s="278" t="n"/>
      <c r="F61" s="35" t="n"/>
      <c r="G61" s="48" t="n"/>
      <c r="I61" s="38" t="n"/>
      <c r="J61" s="42" t="n"/>
    </row>
    <row r="62">
      <c r="F62" s="35" t="n"/>
      <c r="G62" s="49" t="n"/>
      <c r="I62" s="38" t="n"/>
      <c r="J62" s="42" t="n"/>
    </row>
    <row r="63">
      <c r="F63" s="35" t="n"/>
      <c r="G63" s="418" t="n"/>
      <c r="I63" s="38" t="n"/>
      <c r="J63" s="42" t="n"/>
    </row>
    <row r="64">
      <c r="F64" s="35" t="n"/>
      <c r="G64" s="51" t="n"/>
      <c r="I64" s="38" t="n"/>
      <c r="J64" s="42" t="n"/>
    </row>
    <row r="65">
      <c r="F65" s="35" t="n"/>
      <c r="G65" s="418" t="n"/>
      <c r="I65" s="38" t="n"/>
      <c r="J65" s="38" t="n"/>
    </row>
    <row r="66">
      <c r="F66" s="35" t="n"/>
      <c r="G66" s="419" t="n"/>
      <c r="I66" s="38" t="n"/>
      <c r="J66" s="38" t="n"/>
    </row>
    <row r="67">
      <c r="A67" s="38" t="n"/>
      <c r="B67" s="38" t="n"/>
      <c r="C67" s="38" t="n"/>
      <c r="D67" s="38" t="n"/>
      <c r="E67" s="38" t="n"/>
      <c r="F67" s="38" t="n"/>
      <c r="G67" s="38" t="n"/>
      <c r="I67" s="38" t="n"/>
      <c r="J67" s="38" t="n"/>
    </row>
    <row r="68">
      <c r="A68" s="38" t="n"/>
      <c r="B68" s="38" t="n"/>
      <c r="C68" s="38" t="n"/>
      <c r="D68" s="38" t="n"/>
      <c r="E68" s="38" t="n"/>
      <c r="F68" s="38" t="n"/>
      <c r="G68" s="38" t="n"/>
      <c r="I68" s="38" t="n"/>
      <c r="J68" s="38" t="n"/>
    </row>
  </sheetData>
  <mergeCells count="33">
    <mergeCell ref="E8:E9"/>
    <mergeCell ref="E39:E44"/>
    <mergeCell ref="C22:D27"/>
    <mergeCell ref="E28:E38"/>
    <mergeCell ref="C10:C11"/>
    <mergeCell ref="E10:E11"/>
    <mergeCell ref="A46:E49"/>
    <mergeCell ref="B22:B44"/>
    <mergeCell ref="E16:E18"/>
    <mergeCell ref="C28:D38"/>
    <mergeCell ref="C12:C15"/>
    <mergeCell ref="C19:C21"/>
    <mergeCell ref="D2:D7"/>
    <mergeCell ref="D19:D21"/>
    <mergeCell ref="C39:D44"/>
    <mergeCell ref="A50:E54"/>
    <mergeCell ref="A55:E57"/>
    <mergeCell ref="C8:C9"/>
    <mergeCell ref="D12:D15"/>
    <mergeCell ref="D8:D9"/>
    <mergeCell ref="C2:C7"/>
    <mergeCell ref="E2:E7"/>
    <mergeCell ref="D10:D11"/>
    <mergeCell ref="A1:C1"/>
    <mergeCell ref="C16:C18"/>
    <mergeCell ref="A2:A44"/>
    <mergeCell ref="E12:E15"/>
    <mergeCell ref="E19:E21"/>
    <mergeCell ref="D16:D18"/>
    <mergeCell ref="A61:E66"/>
    <mergeCell ref="B2:B21"/>
    <mergeCell ref="E22:E27"/>
    <mergeCell ref="A58:E60"/>
  </mergeCells>
  <conditionalFormatting sqref="G66">
    <cfRule type="cellIs" priority="2" operator="lessThan" dxfId="14">
      <formula>$G$65</formula>
    </cfRule>
    <cfRule type="cellIs" priority="3" operator="greaterThan" dxfId="13">
      <formula>$G$65</formula>
    </cfRule>
  </conditionalFormatting>
  <dataValidations count="2">
    <dataValidation sqref="G50" showDropDown="0" showInputMessage="1" showErrorMessage="1" allowBlank="1" type="list">
      <formula1>"M&amp;Aestratégico,M&amp;Afinanciero,IPO,Secundario en rondas,Buyback,Liquidación"</formula1>
      <formula2>0</formula2>
    </dataValidation>
    <dataValidation sqref="G53" showDropDown="0" showInputMessage="1" showErrorMessage="1" allowBlank="1" type="list">
      <formula1>"1,2,3,4,5,6,7,8,9,10,11,12,13,14,15,16,17,18,19,20"</formula1>
      <formula2>0</formula2>
    </dataValidation>
  </dataValidations>
  <pageMargins left="0.7" right="0.7" top="0.75" bottom="0.75" header="0.511811023622047" footer="0.511811023622047"/>
  <pageSetup orientation="landscape" paperSize="9" scale="55" horizontalDpi="300" verticalDpi="300"/>
  <rowBreaks count="2" manualBreakCount="2">
    <brk id="1" min="0" max="16383" man="1"/>
    <brk id="32" min="0" max="16383" man="1"/>
  </rowBreaks>
</worksheet>
</file>

<file path=xl/worksheets/sheet2.xml><?xml version="1.0" encoding="utf-8"?>
<worksheet xmlns="http://schemas.openxmlformats.org/spreadsheetml/2006/main">
  <sheetPr>
    <outlinePr summaryBelow="1" summaryRight="1"/>
    <pageSetUpPr/>
  </sheetPr>
  <dimension ref="A1:W126"/>
  <sheetViews>
    <sheetView tabSelected="1" topLeftCell="A54" zoomScale="85" zoomScaleNormal="85" workbookViewId="0">
      <selection activeCell="C106" sqref="C106"/>
    </sheetView>
  </sheetViews>
  <sheetFormatPr baseColWidth="10" defaultColWidth="14" defaultRowHeight="14.25"/>
  <cols>
    <col width="25.42578125" customWidth="1" style="53" min="1" max="1"/>
    <col width="71.42578125" bestFit="1" customWidth="1" style="53" min="2" max="2"/>
    <col width="13.7109375" bestFit="1" customWidth="1" style="53" min="3" max="3"/>
    <col width="12.28515625" bestFit="1" customWidth="1" style="53" min="4" max="4"/>
    <col width="14" customWidth="1" style="53" min="5" max="5"/>
    <col width="11.28515625" bestFit="1" customWidth="1" style="53" min="6" max="6"/>
    <col width="19.28515625" bestFit="1" customWidth="1" style="53" min="7" max="7"/>
    <col width="12.140625" customWidth="1" style="53" min="8" max="8"/>
    <col width="20.7109375" customWidth="1" style="53" min="9" max="9"/>
    <col width="21" bestFit="1" customWidth="1" style="53" min="10" max="10"/>
    <col width="12.85546875" customWidth="1" style="53" min="11" max="11"/>
    <col width="20.7109375" customWidth="1" style="53" min="12" max="12"/>
    <col width="19.28515625" customWidth="1" style="53" min="13" max="13"/>
    <col width="16.28515625" customWidth="1" style="53" min="14" max="14"/>
    <col width="21" customWidth="1" style="53" min="15" max="17"/>
    <col width="20.28515625" customWidth="1" style="53" min="18" max="18"/>
    <col width="21" customWidth="1" style="53" min="19" max="19"/>
    <col width="25.140625" customWidth="1" style="53" min="20" max="20"/>
    <col width="20.7109375" customWidth="1" style="53" min="21" max="21"/>
    <col width="22.42578125" customWidth="1" style="53" min="22" max="22"/>
    <col width="16.140625" customWidth="1" style="53" min="23" max="23"/>
    <col width="14" customWidth="1" style="53" min="24" max="16384"/>
  </cols>
  <sheetData>
    <row r="1" ht="15" customHeight="1" s="377">
      <c r="A1" s="54" t="n"/>
      <c r="B1" s="55" t="inlineStr">
        <is>
          <t>AÑO</t>
        </is>
      </c>
      <c r="C1" s="56" t="inlineStr">
        <is>
          <t>precio</t>
        </is>
      </c>
      <c r="D1" s="57" t="inlineStr">
        <is>
          <t>Incremento</t>
        </is>
      </c>
      <c r="E1" s="56" t="inlineStr">
        <is>
          <t>EPS</t>
        </is>
      </c>
      <c r="F1" s="57" t="inlineStr">
        <is>
          <t>Incremento</t>
        </is>
      </c>
      <c r="G1" s="56" t="inlineStr">
        <is>
          <t>Rentabilidad anual</t>
        </is>
      </c>
      <c r="H1" s="56" t="inlineStr">
        <is>
          <t>PER</t>
        </is>
      </c>
      <c r="I1" s="56" t="inlineStr">
        <is>
          <t>Dividendo por acción</t>
        </is>
      </c>
      <c r="J1" s="55" t="inlineStr">
        <is>
          <t>% dividendos sobre B</t>
        </is>
      </c>
      <c r="K1" s="56" t="inlineStr">
        <is>
          <t>Reservas</t>
        </is>
      </c>
      <c r="L1" s="55" t="inlineStr">
        <is>
          <t>% reservas sobre B</t>
        </is>
      </c>
      <c r="M1" s="56" t="inlineStr">
        <is>
          <t>ingresos (milion)</t>
        </is>
      </c>
      <c r="N1" s="57" t="inlineStr">
        <is>
          <t>Incremento</t>
        </is>
      </c>
      <c r="O1" s="56" t="inlineStr">
        <is>
          <t>beneficios (bilion)</t>
        </is>
      </c>
      <c r="P1" s="56" t="n"/>
      <c r="Q1" s="56" t="inlineStr">
        <is>
          <t>margen beneficio</t>
        </is>
      </c>
      <c r="R1" s="57" t="inlineStr">
        <is>
          <t>Incremento</t>
        </is>
      </c>
      <c r="S1" s="56" t="inlineStr">
        <is>
          <t>Acciones</t>
        </is>
      </c>
      <c r="T1" s="56" t="inlineStr">
        <is>
          <t>Book value per share</t>
        </is>
      </c>
      <c r="U1" s="57" t="inlineStr">
        <is>
          <t>Incremento</t>
        </is>
      </c>
      <c r="V1" s="56" t="inlineStr">
        <is>
          <t>ROE</t>
        </is>
      </c>
      <c r="W1" s="243" t="inlineStr">
        <is>
          <t>Histórico (2016-2025) / Proyectado con escenario Base (2026-2035)</t>
        </is>
      </c>
    </row>
    <row r="2" ht="15" customHeight="1" s="377">
      <c r="A2" s="54" t="n"/>
      <c r="B2" s="58">
        <f>B3-1</f>
        <v/>
      </c>
      <c r="C2" s="59" t="n">
        <v>97.33</v>
      </c>
      <c r="D2" s="60" t="n"/>
      <c r="E2" s="61">
        <f>PyG!D29</f>
        <v/>
      </c>
      <c r="F2" s="60" t="n"/>
      <c r="G2" s="62">
        <f>E2/C2</f>
        <v/>
      </c>
      <c r="H2" s="420">
        <f>C2/E2</f>
        <v/>
      </c>
      <c r="I2" s="420">
        <f>ABS('Cash Flow'!D29)/S2</f>
        <v/>
      </c>
      <c r="J2" s="64">
        <f>(I2/E2)</f>
        <v/>
      </c>
      <c r="K2" s="420">
        <f>E2-I2</f>
        <v/>
      </c>
      <c r="L2" s="64">
        <f>K2/E2</f>
        <v/>
      </c>
      <c r="M2" s="65">
        <f>PyG!D8</f>
        <v/>
      </c>
      <c r="N2" s="60" t="n"/>
      <c r="O2" s="65">
        <f>PyG!D23</f>
        <v/>
      </c>
      <c r="P2" s="65" t="n"/>
      <c r="Q2" s="421">
        <f>O2/M2</f>
        <v/>
      </c>
      <c r="R2" s="60" t="n"/>
      <c r="S2" s="422">
        <f>PyG!D27</f>
        <v/>
      </c>
      <c r="T2" s="68">
        <f>Balance!D26/'Modelo EPS'!S2</f>
        <v/>
      </c>
      <c r="U2" s="60" t="n"/>
      <c r="V2" s="62">
        <f>O2/(T2*S2)</f>
        <v/>
      </c>
      <c r="W2" s="54" t="n"/>
    </row>
    <row r="3" ht="15" customHeight="1" s="377">
      <c r="A3" s="54" t="n"/>
      <c r="B3" s="58">
        <f>B4-1</f>
        <v/>
      </c>
      <c r="C3" s="59" t="n">
        <v>138.71</v>
      </c>
      <c r="D3" s="60">
        <f>(C3-C2)/C2</f>
        <v/>
      </c>
      <c r="E3" s="61">
        <f>PyG!E29</f>
        <v/>
      </c>
      <c r="F3" s="60">
        <f>(E3-E2)/E2</f>
        <v/>
      </c>
      <c r="G3" s="62">
        <f>E3/C3</f>
        <v/>
      </c>
      <c r="H3" s="420">
        <f>C3/E3</f>
        <v/>
      </c>
      <c r="I3" s="420">
        <f>ABS('Cash Flow'!E29)/S3</f>
        <v/>
      </c>
      <c r="J3" s="64">
        <f>(I3/E3)</f>
        <v/>
      </c>
      <c r="K3" s="420">
        <f>E3-I3</f>
        <v/>
      </c>
      <c r="L3" s="64">
        <f>K3/E3</f>
        <v/>
      </c>
      <c r="M3" s="65">
        <f>PyG!E8</f>
        <v/>
      </c>
      <c r="N3" s="60">
        <f>(M3-M2)/M2</f>
        <v/>
      </c>
      <c r="O3" s="65">
        <f>PyG!E23</f>
        <v/>
      </c>
      <c r="P3" s="60">
        <f>(O3-O2)/O2</f>
        <v/>
      </c>
      <c r="Q3" s="421">
        <f>O3/M3</f>
        <v/>
      </c>
      <c r="R3" s="60">
        <f>(O3-O2)/O2</f>
        <v/>
      </c>
      <c r="S3" s="422">
        <f>PyG!E27</f>
        <v/>
      </c>
      <c r="T3" s="68">
        <f>Balance!E26/'Modelo EPS'!S3</f>
        <v/>
      </c>
      <c r="U3" s="60">
        <f>(T3-T2)/T2</f>
        <v/>
      </c>
      <c r="V3" s="62">
        <f>O3/(T3*S3)</f>
        <v/>
      </c>
      <c r="W3" s="54" t="n"/>
    </row>
    <row r="4" ht="15" customHeight="1" s="377">
      <c r="A4" s="54" t="n"/>
      <c r="B4" s="58">
        <f>B5-1</f>
        <v/>
      </c>
      <c r="C4" s="59" t="n">
        <v>230.67</v>
      </c>
      <c r="D4" s="60">
        <f>(C4-C3)/C3</f>
        <v/>
      </c>
      <c r="E4" s="61">
        <f>PyG!F29</f>
        <v/>
      </c>
      <c r="F4" s="60">
        <f>(E4-E3)/E3</f>
        <v/>
      </c>
      <c r="G4" s="62">
        <f>E4/C4</f>
        <v/>
      </c>
      <c r="H4" s="420">
        <f>C4/E4</f>
        <v/>
      </c>
      <c r="I4" s="420">
        <f>ABS('Cash Flow'!F29)/S4</f>
        <v/>
      </c>
      <c r="J4" s="64">
        <f>(I4/E4)</f>
        <v/>
      </c>
      <c r="K4" s="420">
        <f>E4-I4</f>
        <v/>
      </c>
      <c r="L4" s="64">
        <f>K4/E4</f>
        <v/>
      </c>
      <c r="M4" s="65">
        <f>PyG!F8</f>
        <v/>
      </c>
      <c r="N4" s="60">
        <f>(M4-M3)/M3</f>
        <v/>
      </c>
      <c r="O4" s="65">
        <f>PyG!F23</f>
        <v/>
      </c>
      <c r="P4" s="60">
        <f>(O4-O3)/O3</f>
        <v/>
      </c>
      <c r="Q4" s="421">
        <f>O4/M4</f>
        <v/>
      </c>
      <c r="R4" s="60">
        <f>(O4-O3)/O3</f>
        <v/>
      </c>
      <c r="S4" s="422">
        <f>PyG!F27</f>
        <v/>
      </c>
      <c r="T4" s="68">
        <f>Balance!F26/'Modelo EPS'!S4</f>
        <v/>
      </c>
      <c r="U4" s="60">
        <f>(T4-T3)/T3</f>
        <v/>
      </c>
      <c r="V4" s="62">
        <f>O4/(T4*S4)</f>
        <v/>
      </c>
      <c r="W4" s="54" t="n"/>
    </row>
    <row r="5" ht="15" customHeight="1" s="377">
      <c r="A5" s="54" t="n"/>
      <c r="B5" s="58">
        <f>B6-1</f>
        <v/>
      </c>
      <c r="C5" s="69" t="n">
        <v>272.53</v>
      </c>
      <c r="D5" s="60">
        <f>(C5-C4)/C4</f>
        <v/>
      </c>
      <c r="E5" s="61">
        <f>PyG!G29</f>
        <v/>
      </c>
      <c r="F5" s="60">
        <f>(E5-E4)/E4</f>
        <v/>
      </c>
      <c r="G5" s="62">
        <f>E5/C5</f>
        <v/>
      </c>
      <c r="H5" s="420">
        <f>C5/E5</f>
        <v/>
      </c>
      <c r="I5" s="420">
        <f>ABS('Cash Flow'!G29)/S5</f>
        <v/>
      </c>
      <c r="J5" s="64">
        <f>(I5/E5)</f>
        <v/>
      </c>
      <c r="K5" s="420">
        <f>E5-I5</f>
        <v/>
      </c>
      <c r="L5" s="64">
        <f>K5/E5</f>
        <v/>
      </c>
      <c r="M5" s="70">
        <f>PyG!G8</f>
        <v/>
      </c>
      <c r="N5" s="60">
        <f>(M5-M4)/M4</f>
        <v/>
      </c>
      <c r="O5" s="70">
        <f>PyG!G23</f>
        <v/>
      </c>
      <c r="P5" s="60">
        <f>(O5-O4)/O4</f>
        <v/>
      </c>
      <c r="Q5" s="423">
        <f>O5/M5</f>
        <v/>
      </c>
      <c r="R5" s="60">
        <f>(O5-O4)/O4</f>
        <v/>
      </c>
      <c r="S5" s="422">
        <f>PyG!G27</f>
        <v/>
      </c>
      <c r="T5" s="68">
        <f>Balance!G26/'Modelo EPS'!S5</f>
        <v/>
      </c>
      <c r="U5" s="60">
        <f>(T5-T4)/T4</f>
        <v/>
      </c>
      <c r="V5" s="62">
        <f>O5/(T5*S5)</f>
        <v/>
      </c>
      <c r="W5" s="54" t="n"/>
    </row>
    <row r="6" ht="15" customHeight="1" s="377">
      <c r="A6" s="54" t="n"/>
      <c r="B6" s="58">
        <f>B7-1</f>
        <v/>
      </c>
      <c r="C6" s="69" t="n">
        <v>400.85</v>
      </c>
      <c r="D6" s="60">
        <f>(C6-C5)/C5</f>
        <v/>
      </c>
      <c r="E6" s="61">
        <f>PyG!H29</f>
        <v/>
      </c>
      <c r="F6" s="60">
        <f>(E6-E5)/E5</f>
        <v/>
      </c>
      <c r="G6" s="62">
        <f>E6/C6</f>
        <v/>
      </c>
      <c r="H6" s="420">
        <f>C6/E6</f>
        <v/>
      </c>
      <c r="I6" s="420">
        <f>ABS('Cash Flow'!H29)/S6</f>
        <v/>
      </c>
      <c r="J6" s="64">
        <f>(I6/E6)</f>
        <v/>
      </c>
      <c r="K6" s="420">
        <f>E6-I6</f>
        <v/>
      </c>
      <c r="L6" s="64">
        <f>K6/E6</f>
        <v/>
      </c>
      <c r="M6" s="70">
        <f>PyG!H8</f>
        <v/>
      </c>
      <c r="N6" s="60">
        <f>(M6-M5)/M5</f>
        <v/>
      </c>
      <c r="O6" s="70">
        <f>PyG!H23</f>
        <v/>
      </c>
      <c r="P6" s="60">
        <f>(O6-O5)/O5</f>
        <v/>
      </c>
      <c r="Q6" s="423">
        <f>O6/M6</f>
        <v/>
      </c>
      <c r="R6" s="60">
        <f>(O6-O5)/O5</f>
        <v/>
      </c>
      <c r="S6" s="424">
        <f>PyG!H27</f>
        <v/>
      </c>
      <c r="T6" s="68">
        <f>Balance!H26/'Modelo EPS'!S6</f>
        <v/>
      </c>
      <c r="U6" s="60">
        <f>(T6-T5)/T5</f>
        <v/>
      </c>
      <c r="V6" s="62">
        <f>O6/(T6*S6)</f>
        <v/>
      </c>
      <c r="W6" s="54" t="n"/>
    </row>
    <row r="7" ht="15" customHeight="1" s="377">
      <c r="A7" s="54" t="n"/>
      <c r="B7" s="58">
        <f>B8-1</f>
        <v/>
      </c>
      <c r="C7" s="69" t="n">
        <v>551.6799999999999</v>
      </c>
      <c r="D7" s="60">
        <f>(C7-C6)/C6</f>
        <v/>
      </c>
      <c r="E7" s="61">
        <f>PyG!I29</f>
        <v/>
      </c>
      <c r="F7" s="60">
        <f>(E7-E6)/E6</f>
        <v/>
      </c>
      <c r="G7" s="62">
        <f>E7/C7</f>
        <v/>
      </c>
      <c r="H7" s="420">
        <f>C7/E7</f>
        <v/>
      </c>
      <c r="I7" s="420">
        <f>ABS('Cash Flow'!I29)/S7</f>
        <v/>
      </c>
      <c r="J7" s="64">
        <f>(I7/E7)</f>
        <v/>
      </c>
      <c r="K7" s="420">
        <f>E7-I7</f>
        <v/>
      </c>
      <c r="L7" s="64">
        <f>K7/E7</f>
        <v/>
      </c>
      <c r="M7" s="73">
        <f>PyG!I8</f>
        <v/>
      </c>
      <c r="N7" s="60">
        <f>(M7-M6)/M6</f>
        <v/>
      </c>
      <c r="O7" s="73">
        <f>PyG!I23</f>
        <v/>
      </c>
      <c r="P7" s="60">
        <f>(O7-O6)/O6</f>
        <v/>
      </c>
      <c r="Q7" s="423">
        <f>O7/M7</f>
        <v/>
      </c>
      <c r="R7" s="60">
        <f>(O7-O6)/O6</f>
        <v/>
      </c>
      <c r="S7" s="425">
        <f>PyG!I27</f>
        <v/>
      </c>
      <c r="T7" s="68">
        <f>Balance!I26/'Modelo EPS'!S7</f>
        <v/>
      </c>
      <c r="U7" s="60">
        <f>(T7-T6)/T6</f>
        <v/>
      </c>
      <c r="V7" s="62">
        <f>O7/(T7*S7)</f>
        <v/>
      </c>
      <c r="W7" s="54" t="n"/>
    </row>
    <row r="8" ht="15" customHeight="1" s="377">
      <c r="A8" s="54" t="n"/>
      <c r="B8" s="58">
        <f>B9-1</f>
        <v/>
      </c>
      <c r="C8" s="69" t="n">
        <v>415.92</v>
      </c>
      <c r="D8" s="60">
        <f>(C8-C7)/C7</f>
        <v/>
      </c>
      <c r="E8" s="61">
        <f>PyG!J29</f>
        <v/>
      </c>
      <c r="F8" s="60">
        <f>(E8-E7)/E7</f>
        <v/>
      </c>
      <c r="G8" s="62">
        <f>E8/C8</f>
        <v/>
      </c>
      <c r="H8" s="420">
        <f>C8/E8</f>
        <v/>
      </c>
      <c r="I8" s="420">
        <f>ABS('Cash Flow'!J29)/S8</f>
        <v/>
      </c>
      <c r="J8" s="64">
        <f>(I8/E8)</f>
        <v/>
      </c>
      <c r="K8" s="420">
        <f>E8-I8</f>
        <v/>
      </c>
      <c r="L8" s="64">
        <f>K8/E8</f>
        <v/>
      </c>
      <c r="M8" s="73">
        <f>PyG!J8</f>
        <v/>
      </c>
      <c r="N8" s="60">
        <f>(M8-M7)/M7</f>
        <v/>
      </c>
      <c r="O8" s="73">
        <f>PyG!J23</f>
        <v/>
      </c>
      <c r="P8" s="60">
        <f>(O8-O7)/O7</f>
        <v/>
      </c>
      <c r="Q8" s="423">
        <f>O8/M8</f>
        <v/>
      </c>
      <c r="R8" s="60">
        <f>(O8-O7)/O7</f>
        <v/>
      </c>
      <c r="S8" s="425">
        <f>PyG!J27</f>
        <v/>
      </c>
      <c r="T8" s="68">
        <f>Balance!J26/'Modelo EPS'!S8</f>
        <v/>
      </c>
      <c r="U8" s="60">
        <f>(T8-T7)/T7</f>
        <v/>
      </c>
      <c r="V8" s="62">
        <f>O8/(T8*S8)</f>
        <v/>
      </c>
      <c r="W8" s="54" t="n"/>
    </row>
    <row r="9" ht="15" customHeight="1" s="377">
      <c r="A9" s="54" t="n"/>
      <c r="B9" s="58">
        <f>B10-1</f>
        <v/>
      </c>
      <c r="C9" s="69" t="n">
        <v>445.22</v>
      </c>
      <c r="D9" s="60">
        <f>(C9-C8)/C8</f>
        <v/>
      </c>
      <c r="E9" s="61">
        <f>PyG!K29</f>
        <v/>
      </c>
      <c r="F9" s="60">
        <f>(E9-E8)/E8</f>
        <v/>
      </c>
      <c r="G9" s="62">
        <f>E9/C9</f>
        <v/>
      </c>
      <c r="H9" s="420">
        <f>C9/E9</f>
        <v/>
      </c>
      <c r="I9" s="420">
        <f>ABS('Cash Flow'!K29)/S9</f>
        <v/>
      </c>
      <c r="J9" s="64">
        <f>(I9/E9)</f>
        <v/>
      </c>
      <c r="K9" s="420">
        <f>E9-I9</f>
        <v/>
      </c>
      <c r="L9" s="64">
        <f>K9/E9</f>
        <v/>
      </c>
      <c r="M9" s="73">
        <f>PyG!K8</f>
        <v/>
      </c>
      <c r="N9" s="60">
        <f>(M9-M8)/M8</f>
        <v/>
      </c>
      <c r="O9" s="73">
        <f>PyG!K23</f>
        <v/>
      </c>
      <c r="P9" s="60">
        <f>(O9-O8)/O8</f>
        <v/>
      </c>
      <c r="Q9" s="423">
        <f>O9/M9</f>
        <v/>
      </c>
      <c r="R9" s="60">
        <f>(O9-O8)/O8</f>
        <v/>
      </c>
      <c r="S9" s="425">
        <f>PyG!K27</f>
        <v/>
      </c>
      <c r="T9" s="68">
        <f>Balance!K26/'Modelo EPS'!S9</f>
        <v/>
      </c>
      <c r="U9" s="60">
        <f>(T9-T8)/T8</f>
        <v/>
      </c>
      <c r="V9" s="62">
        <f>O9/(T9*S9)</f>
        <v/>
      </c>
      <c r="W9" s="54" t="n"/>
    </row>
    <row r="10" ht="15" customHeight="1" s="377">
      <c r="A10" s="54" t="n"/>
      <c r="B10" s="58">
        <f>B11-1</f>
        <v/>
      </c>
      <c r="C10" s="69" t="n">
        <v>534.2</v>
      </c>
      <c r="D10" s="60">
        <f>(C10-C9)/C9</f>
        <v/>
      </c>
      <c r="E10" s="61">
        <f>PyG!L29</f>
        <v/>
      </c>
      <c r="F10" s="60">
        <f>(E10-E9)/E9</f>
        <v/>
      </c>
      <c r="G10" s="62">
        <f>E10/C10</f>
        <v/>
      </c>
      <c r="H10" s="420">
        <f>C10/E10</f>
        <v/>
      </c>
      <c r="I10" s="420">
        <f>ABS('Cash Flow'!L29)/S10</f>
        <v/>
      </c>
      <c r="J10" s="64">
        <f>(I10/E10)</f>
        <v/>
      </c>
      <c r="K10" s="420">
        <f>E10-I10</f>
        <v/>
      </c>
      <c r="L10" s="64">
        <f>K10/E10</f>
        <v/>
      </c>
      <c r="M10" s="73">
        <f>PyG!L8</f>
        <v/>
      </c>
      <c r="N10" s="60">
        <f>(M10-M9)/M9</f>
        <v/>
      </c>
      <c r="O10" s="73">
        <f>PyG!L23</f>
        <v/>
      </c>
      <c r="P10" s="60">
        <f>(O10-O9)/O9</f>
        <v/>
      </c>
      <c r="Q10" s="423">
        <f>O10/M10</f>
        <v/>
      </c>
      <c r="R10" s="60">
        <f>(O10-O9)/O9</f>
        <v/>
      </c>
      <c r="S10" s="425">
        <f>PyG!L27</f>
        <v/>
      </c>
      <c r="T10" s="68">
        <f>Balance!L26/'Modelo EPS'!S10</f>
        <v/>
      </c>
      <c r="U10" s="60">
        <f>(T10-T9)/T9</f>
        <v/>
      </c>
      <c r="V10" s="62">
        <f>O10/(T10*S10)</f>
        <v/>
      </c>
      <c r="W10" s="54" t="n"/>
    </row>
    <row r="11" ht="15.75" customHeight="1" s="377" thickBot="1">
      <c r="A11" s="231" t="n"/>
      <c r="B11" s="232">
        <f>B12-1</f>
        <v/>
      </c>
      <c r="C11" s="233" t="n">
        <v>389.14</v>
      </c>
      <c r="D11" s="234">
        <f>(C11-C10)/C10</f>
        <v/>
      </c>
      <c r="E11" s="235">
        <f>PyG!M29</f>
        <v/>
      </c>
      <c r="F11" s="234">
        <f>(E11-E10)/E10</f>
        <v/>
      </c>
      <c r="G11" s="236">
        <f>E11/C11</f>
        <v/>
      </c>
      <c r="H11" s="426">
        <f>C11/E11</f>
        <v/>
      </c>
      <c r="I11" s="426">
        <f>ABS('Cash Flow'!M29)/S11</f>
        <v/>
      </c>
      <c r="J11" s="238">
        <f>(I11/E11)</f>
        <v/>
      </c>
      <c r="K11" s="426">
        <f>E11-I11</f>
        <v/>
      </c>
      <c r="L11" s="238">
        <f>K11/E11</f>
        <v/>
      </c>
      <c r="M11" s="239">
        <f>PyG!M8</f>
        <v/>
      </c>
      <c r="N11" s="234">
        <f>(M11-M10)/M10</f>
        <v/>
      </c>
      <c r="O11" s="239">
        <f>PyG!M23</f>
        <v/>
      </c>
      <c r="P11" s="234">
        <f>(O11-O10)/O10</f>
        <v/>
      </c>
      <c r="Q11" s="427">
        <f>O11/M11</f>
        <v/>
      </c>
      <c r="R11" s="234">
        <f>(O11-O10)/O10</f>
        <v/>
      </c>
      <c r="S11" s="428">
        <f>PyG!M27</f>
        <v/>
      </c>
      <c r="T11" s="242">
        <f>Balance!M26/'Modelo EPS'!S11</f>
        <v/>
      </c>
      <c r="U11" s="234">
        <f>(T11-T10)/T10</f>
        <v/>
      </c>
      <c r="V11" s="236">
        <f>O11/(T11*S11)</f>
        <v/>
      </c>
      <c r="W11" s="54" t="n"/>
    </row>
    <row r="12" ht="15" customHeight="1" s="377">
      <c r="A12" s="54" t="n"/>
      <c r="B12" s="220">
        <f>B13-1</f>
        <v/>
      </c>
      <c r="C12" s="221" t="n"/>
      <c r="D12" s="222" t="n"/>
      <c r="E12" s="223">
        <f>'Proy. Base'!D25</f>
        <v/>
      </c>
      <c r="F12" s="222">
        <f>(E12-E11)/E11</f>
        <v/>
      </c>
      <c r="G12" s="224" t="n"/>
      <c r="H12" s="429" t="n"/>
      <c r="I12" s="429">
        <f>'Proy. Base'!D27</f>
        <v/>
      </c>
      <c r="J12" s="226">
        <f>(I12/E12)</f>
        <v/>
      </c>
      <c r="K12" s="429">
        <f>E12-I12</f>
        <v/>
      </c>
      <c r="L12" s="226">
        <f>K12/E12</f>
        <v/>
      </c>
      <c r="M12" s="227">
        <f>'Proy. Base'!D8</f>
        <v/>
      </c>
      <c r="N12" s="222">
        <f>(M12-M11)/M11</f>
        <v/>
      </c>
      <c r="O12" s="227">
        <f>'Proy. Base'!D22</f>
        <v/>
      </c>
      <c r="P12" s="222">
        <f>(O12-O11)/O11</f>
        <v/>
      </c>
      <c r="Q12" s="430">
        <f>O12/M12</f>
        <v/>
      </c>
      <c r="R12" s="222">
        <f>(O12-O11)/O11</f>
        <v/>
      </c>
      <c r="S12" s="431">
        <f>'Proy. Base'!D24</f>
        <v/>
      </c>
      <c r="T12" s="230">
        <f>'Proy. Base'!D59</f>
        <v/>
      </c>
      <c r="U12" s="222">
        <f>(T12-T11)/T11</f>
        <v/>
      </c>
      <c r="V12" s="224">
        <f>'Proy. Base'!D58</f>
        <v/>
      </c>
      <c r="W12" s="54" t="n"/>
    </row>
    <row r="13" ht="15" customHeight="1" s="377">
      <c r="A13" s="54" t="n"/>
      <c r="B13" s="58">
        <f>B14-1</f>
        <v/>
      </c>
      <c r="C13" s="69" t="n"/>
      <c r="D13" s="60" t="n"/>
      <c r="E13" s="61">
        <f>'Proy. Base'!E25</f>
        <v/>
      </c>
      <c r="F13" s="60">
        <f>(E13-E12)/E12</f>
        <v/>
      </c>
      <c r="G13" s="62" t="n"/>
      <c r="H13" s="420" t="n"/>
      <c r="I13" s="420">
        <f>'Proy. Base'!E27</f>
        <v/>
      </c>
      <c r="J13" s="64">
        <f>(I13/E13)</f>
        <v/>
      </c>
      <c r="K13" s="420">
        <f>E13-I13</f>
        <v/>
      </c>
      <c r="L13" s="64">
        <f>K13/E13</f>
        <v/>
      </c>
      <c r="M13" s="73">
        <f>'Proy. Base'!E8</f>
        <v/>
      </c>
      <c r="N13" s="60">
        <f>(M13-M12)/M12</f>
        <v/>
      </c>
      <c r="O13" s="73">
        <f>'Proy. Base'!E22</f>
        <v/>
      </c>
      <c r="P13" s="60">
        <f>(O13-O12)/O12</f>
        <v/>
      </c>
      <c r="Q13" s="423">
        <f>O13/M13</f>
        <v/>
      </c>
      <c r="R13" s="60">
        <f>(O13-O12)/O12</f>
        <v/>
      </c>
      <c r="S13" s="425">
        <f>'Proy. Base'!E24</f>
        <v/>
      </c>
      <c r="T13" s="68">
        <f>'Proy. Base'!E59</f>
        <v/>
      </c>
      <c r="U13" s="60">
        <f>(T13-T12)/T12</f>
        <v/>
      </c>
      <c r="V13" s="62">
        <f>'Proy. Base'!E58</f>
        <v/>
      </c>
      <c r="W13" s="54" t="n"/>
    </row>
    <row r="14" ht="15" customHeight="1" s="377">
      <c r="A14" s="54" t="n"/>
      <c r="B14" s="58">
        <f>B15-1</f>
        <v/>
      </c>
      <c r="C14" s="69" t="n"/>
      <c r="D14" s="60" t="n"/>
      <c r="E14" s="61">
        <f>'Proy. Base'!F25</f>
        <v/>
      </c>
      <c r="F14" s="60">
        <f>(E14-E13)/E13</f>
        <v/>
      </c>
      <c r="G14" s="62" t="n"/>
      <c r="H14" s="420" t="n"/>
      <c r="I14" s="420">
        <f>'Proy. Base'!F27</f>
        <v/>
      </c>
      <c r="J14" s="64">
        <f>(I14/E14)</f>
        <v/>
      </c>
      <c r="K14" s="420">
        <f>E14-I14</f>
        <v/>
      </c>
      <c r="L14" s="64">
        <f>K14/E14</f>
        <v/>
      </c>
      <c r="M14" s="73">
        <f>'Proy. Base'!F8</f>
        <v/>
      </c>
      <c r="N14" s="60">
        <f>(M14-M13)/M13</f>
        <v/>
      </c>
      <c r="O14" s="73">
        <f>'Proy. Base'!F22</f>
        <v/>
      </c>
      <c r="P14" s="60">
        <f>(O14-O13)/O13</f>
        <v/>
      </c>
      <c r="Q14" s="423">
        <f>O14/M14</f>
        <v/>
      </c>
      <c r="R14" s="60">
        <f>(O14-O13)/O13</f>
        <v/>
      </c>
      <c r="S14" s="425">
        <f>'Proy. Base'!F24</f>
        <v/>
      </c>
      <c r="T14" s="68">
        <f>'Proy. Base'!F59</f>
        <v/>
      </c>
      <c r="U14" s="60">
        <f>(T14-T13)/T13</f>
        <v/>
      </c>
      <c r="V14" s="62">
        <f>'Proy. Base'!F58</f>
        <v/>
      </c>
      <c r="W14" s="54" t="n"/>
    </row>
    <row r="15" ht="15" customHeight="1" s="377">
      <c r="A15" s="54" t="n"/>
      <c r="B15" s="58">
        <f>B16-1</f>
        <v/>
      </c>
      <c r="C15" s="69" t="n"/>
      <c r="D15" s="60" t="n"/>
      <c r="E15" s="61">
        <f>'Proy. Base'!G25</f>
        <v/>
      </c>
      <c r="F15" s="60">
        <f>(E15-E14)/E14</f>
        <v/>
      </c>
      <c r="G15" s="62" t="n"/>
      <c r="H15" s="420" t="n"/>
      <c r="I15" s="420">
        <f>'Proy. Base'!G27</f>
        <v/>
      </c>
      <c r="J15" s="64">
        <f>(I15/E15)</f>
        <v/>
      </c>
      <c r="K15" s="420">
        <f>E15-I15</f>
        <v/>
      </c>
      <c r="L15" s="64">
        <f>K15/E15</f>
        <v/>
      </c>
      <c r="M15" s="73">
        <f>'Proy. Base'!G8</f>
        <v/>
      </c>
      <c r="N15" s="60">
        <f>(M15-M14)/M14</f>
        <v/>
      </c>
      <c r="O15" s="73">
        <f>'Proy. Base'!G22</f>
        <v/>
      </c>
      <c r="P15" s="60">
        <f>(O15-O14)/O14</f>
        <v/>
      </c>
      <c r="Q15" s="423">
        <f>O15/M15</f>
        <v/>
      </c>
      <c r="R15" s="60">
        <f>(O15-O14)/O14</f>
        <v/>
      </c>
      <c r="S15" s="425">
        <f>'Proy. Base'!G24</f>
        <v/>
      </c>
      <c r="T15" s="68">
        <f>'Proy. Base'!G59</f>
        <v/>
      </c>
      <c r="U15" s="60">
        <f>(T15-T14)/T14</f>
        <v/>
      </c>
      <c r="V15" s="62">
        <f>'Proy. Base'!G58</f>
        <v/>
      </c>
      <c r="W15" s="54" t="n"/>
    </row>
    <row r="16" ht="15" customHeight="1" s="377">
      <c r="A16" s="54" t="n"/>
      <c r="B16" s="58">
        <f>B17-1</f>
        <v/>
      </c>
      <c r="C16" s="69" t="n"/>
      <c r="D16" s="60" t="n"/>
      <c r="E16" s="61">
        <f>'Proy. Base'!H25</f>
        <v/>
      </c>
      <c r="F16" s="60">
        <f>(E16-E15)/E15</f>
        <v/>
      </c>
      <c r="G16" s="62" t="n"/>
      <c r="H16" s="420" t="n"/>
      <c r="I16" s="420">
        <f>'Proy. Base'!H27</f>
        <v/>
      </c>
      <c r="J16" s="64">
        <f>(I16/E16)</f>
        <v/>
      </c>
      <c r="K16" s="420">
        <f>E16-I16</f>
        <v/>
      </c>
      <c r="L16" s="64">
        <f>K16/E16</f>
        <v/>
      </c>
      <c r="M16" s="73">
        <f>'Proy. Base'!H8</f>
        <v/>
      </c>
      <c r="N16" s="60">
        <f>(M16-M15)/M15</f>
        <v/>
      </c>
      <c r="O16" s="73">
        <f>'Proy. Base'!H22</f>
        <v/>
      </c>
      <c r="P16" s="60">
        <f>(O16-O15)/O15</f>
        <v/>
      </c>
      <c r="Q16" s="423">
        <f>O16/M16</f>
        <v/>
      </c>
      <c r="R16" s="60">
        <f>(O16-O15)/O15</f>
        <v/>
      </c>
      <c r="S16" s="425">
        <f>'Proy. Base'!H24</f>
        <v/>
      </c>
      <c r="T16" s="68">
        <f>'Proy. Base'!H59</f>
        <v/>
      </c>
      <c r="U16" s="60">
        <f>(T16-T15)/T15</f>
        <v/>
      </c>
      <c r="V16" s="62">
        <f>'Proy. Base'!H58</f>
        <v/>
      </c>
      <c r="W16" s="54" t="n"/>
    </row>
    <row r="17" ht="15" customHeight="1" s="377">
      <c r="A17" s="54" t="n"/>
      <c r="B17" s="58">
        <f>B18-1</f>
        <v/>
      </c>
      <c r="C17" s="69" t="n"/>
      <c r="D17" s="60" t="n"/>
      <c r="E17" s="61">
        <f>'Proy. Base'!I25</f>
        <v/>
      </c>
      <c r="F17" s="60">
        <f>(E17-E16)/E16</f>
        <v/>
      </c>
      <c r="G17" s="62" t="n"/>
      <c r="H17" s="420" t="n"/>
      <c r="I17" s="420">
        <f>'Proy. Base'!I27</f>
        <v/>
      </c>
      <c r="J17" s="64">
        <f>(I17/E17)</f>
        <v/>
      </c>
      <c r="K17" s="420">
        <f>E17-I17</f>
        <v/>
      </c>
      <c r="L17" s="64">
        <f>K17/E17</f>
        <v/>
      </c>
      <c r="M17" s="73">
        <f>'Proy. Base'!I8</f>
        <v/>
      </c>
      <c r="N17" s="60">
        <f>(M17-M16)/M16</f>
        <v/>
      </c>
      <c r="O17" s="73">
        <f>'Proy. Base'!I22</f>
        <v/>
      </c>
      <c r="P17" s="60">
        <f>(O17-O16)/O16</f>
        <v/>
      </c>
      <c r="Q17" s="423">
        <f>O17/M17</f>
        <v/>
      </c>
      <c r="R17" s="60">
        <f>(O17-O16)/O16</f>
        <v/>
      </c>
      <c r="S17" s="425">
        <f>'Proy. Base'!I24</f>
        <v/>
      </c>
      <c r="T17" s="68">
        <f>'Proy. Base'!I59</f>
        <v/>
      </c>
      <c r="U17" s="60">
        <f>(T17-T16)/T16</f>
        <v/>
      </c>
      <c r="V17" s="62">
        <f>'Proy. Base'!I58</f>
        <v/>
      </c>
      <c r="W17" s="54" t="n"/>
    </row>
    <row r="18" ht="15" customHeight="1" s="377">
      <c r="A18" s="54" t="n"/>
      <c r="B18" s="58">
        <f>B19-1</f>
        <v/>
      </c>
      <c r="C18" s="69" t="n"/>
      <c r="D18" s="60" t="n"/>
      <c r="E18" s="61">
        <f>'Proy. Base'!J25</f>
        <v/>
      </c>
      <c r="F18" s="60">
        <f>(E18-E17)/E17</f>
        <v/>
      </c>
      <c r="G18" s="62" t="n"/>
      <c r="H18" s="420" t="n"/>
      <c r="I18" s="420">
        <f>'Proy. Base'!J27</f>
        <v/>
      </c>
      <c r="J18" s="64">
        <f>(I18/E18)</f>
        <v/>
      </c>
      <c r="K18" s="420">
        <f>E18-I18</f>
        <v/>
      </c>
      <c r="L18" s="64">
        <f>K18/E18</f>
        <v/>
      </c>
      <c r="M18" s="73">
        <f>'Proy. Base'!J8</f>
        <v/>
      </c>
      <c r="N18" s="60">
        <f>(M18-M17)/M17</f>
        <v/>
      </c>
      <c r="O18" s="73">
        <f>'Proy. Base'!J22</f>
        <v/>
      </c>
      <c r="P18" s="60">
        <f>(O18-O17)/O17</f>
        <v/>
      </c>
      <c r="Q18" s="423">
        <f>O18/M18</f>
        <v/>
      </c>
      <c r="R18" s="60">
        <f>(O18-O17)/O17</f>
        <v/>
      </c>
      <c r="S18" s="425">
        <f>'Proy. Base'!J24</f>
        <v/>
      </c>
      <c r="T18" s="68">
        <f>'Proy. Base'!J59</f>
        <v/>
      </c>
      <c r="U18" s="60">
        <f>(T18-T17)/T17</f>
        <v/>
      </c>
      <c r="V18" s="62">
        <f>'Proy. Base'!J58</f>
        <v/>
      </c>
      <c r="W18" s="54" t="n"/>
    </row>
    <row r="19" ht="15" customHeight="1" s="377">
      <c r="A19" s="54" t="n"/>
      <c r="B19" s="58">
        <f>B20-1</f>
        <v/>
      </c>
      <c r="C19" s="69" t="n"/>
      <c r="D19" s="60" t="n"/>
      <c r="E19" s="61">
        <f>'Proy. Base'!K25</f>
        <v/>
      </c>
      <c r="F19" s="60">
        <f>(E19-E18)/E18</f>
        <v/>
      </c>
      <c r="G19" s="62" t="n"/>
      <c r="H19" s="420" t="n"/>
      <c r="I19" s="420">
        <f>'Proy. Base'!K27</f>
        <v/>
      </c>
      <c r="J19" s="64">
        <f>(I19/E19)</f>
        <v/>
      </c>
      <c r="K19" s="420">
        <f>E19-I19</f>
        <v/>
      </c>
      <c r="L19" s="64">
        <f>K19/E19</f>
        <v/>
      </c>
      <c r="M19" s="73">
        <f>'Proy. Base'!K8</f>
        <v/>
      </c>
      <c r="N19" s="60">
        <f>(M19-M18)/M18</f>
        <v/>
      </c>
      <c r="O19" s="73">
        <f>'Proy. Base'!K22</f>
        <v/>
      </c>
      <c r="P19" s="60">
        <f>(O19-O18)/O18</f>
        <v/>
      </c>
      <c r="Q19" s="423">
        <f>O19/M19</f>
        <v/>
      </c>
      <c r="R19" s="60">
        <f>(O19-O18)/O18</f>
        <v/>
      </c>
      <c r="S19" s="425">
        <f>'Proy. Base'!K24</f>
        <v/>
      </c>
      <c r="T19" s="68">
        <f>'Proy. Base'!K59</f>
        <v/>
      </c>
      <c r="U19" s="60">
        <f>(T19-T18)/T18</f>
        <v/>
      </c>
      <c r="V19" s="62">
        <f>'Proy. Base'!K58</f>
        <v/>
      </c>
      <c r="W19" s="54" t="n"/>
    </row>
    <row r="20" ht="15" customHeight="1" s="377">
      <c r="A20" s="54" t="n"/>
      <c r="B20" s="58">
        <f>B21-1</f>
        <v/>
      </c>
      <c r="C20" s="69" t="n"/>
      <c r="D20" s="60" t="n"/>
      <c r="E20" s="61">
        <f>'Proy. Base'!L25</f>
        <v/>
      </c>
      <c r="F20" s="60">
        <f>(E20-E19)/E19</f>
        <v/>
      </c>
      <c r="G20" s="62" t="n"/>
      <c r="H20" s="420" t="n"/>
      <c r="I20" s="420">
        <f>'Proy. Base'!L27</f>
        <v/>
      </c>
      <c r="J20" s="64">
        <f>(I20/E20)</f>
        <v/>
      </c>
      <c r="K20" s="420">
        <f>E20-I20</f>
        <v/>
      </c>
      <c r="L20" s="64">
        <f>K20/E20</f>
        <v/>
      </c>
      <c r="M20" s="73">
        <f>'Proy. Base'!L8</f>
        <v/>
      </c>
      <c r="N20" s="60">
        <f>(M20-M19)/M19</f>
        <v/>
      </c>
      <c r="O20" s="73">
        <f>'Proy. Base'!L22</f>
        <v/>
      </c>
      <c r="P20" s="60">
        <f>(O20-O19)/O19</f>
        <v/>
      </c>
      <c r="Q20" s="423">
        <f>O20/M20</f>
        <v/>
      </c>
      <c r="R20" s="60">
        <f>(O20-O19)/O19</f>
        <v/>
      </c>
      <c r="S20" s="425">
        <f>'Proy. Base'!L24</f>
        <v/>
      </c>
      <c r="T20" s="68">
        <f>'Proy. Base'!L59</f>
        <v/>
      </c>
      <c r="U20" s="60">
        <f>(T20-T19)/T19</f>
        <v/>
      </c>
      <c r="V20" s="62">
        <f>'Proy. Base'!L58</f>
        <v/>
      </c>
      <c r="W20" s="54" t="n"/>
    </row>
    <row r="21" ht="15" customHeight="1" s="377">
      <c r="A21" s="54" t="n"/>
      <c r="B21" s="58" t="n">
        <v>2035</v>
      </c>
      <c r="C21" s="69" t="n"/>
      <c r="D21" s="60" t="n"/>
      <c r="E21" s="61">
        <f>'Proy. Base'!M25</f>
        <v/>
      </c>
      <c r="F21" s="60">
        <f>(E21-E20)/E20</f>
        <v/>
      </c>
      <c r="G21" s="62" t="n"/>
      <c r="H21" s="420" t="n"/>
      <c r="I21" s="420">
        <f>'Proy. Base'!M27</f>
        <v/>
      </c>
      <c r="J21" s="64">
        <f>(I21/E21)</f>
        <v/>
      </c>
      <c r="K21" s="420">
        <f>E21-I21</f>
        <v/>
      </c>
      <c r="L21" s="64">
        <f>K21/E21</f>
        <v/>
      </c>
      <c r="M21" s="73">
        <f>'Proy. Base'!M8</f>
        <v/>
      </c>
      <c r="N21" s="60">
        <f>(M21-M20)/M20</f>
        <v/>
      </c>
      <c r="O21" s="73">
        <f>'Proy. Base'!M22</f>
        <v/>
      </c>
      <c r="P21" s="60">
        <f>(O21-O20)/O20</f>
        <v/>
      </c>
      <c r="Q21" s="423">
        <f>O21/M21</f>
        <v/>
      </c>
      <c r="R21" s="60">
        <f>(O21-O20)/O20</f>
        <v/>
      </c>
      <c r="S21" s="425">
        <f>'Proy. Base'!M24</f>
        <v/>
      </c>
      <c r="T21" s="68">
        <f>'Proy. Base'!M59</f>
        <v/>
      </c>
      <c r="U21" s="60">
        <f>(T21-T20)/T20</f>
        <v/>
      </c>
      <c r="V21" s="62">
        <f>'Proy. Base'!M58</f>
        <v/>
      </c>
      <c r="W21" s="54" t="n"/>
    </row>
    <row r="22" ht="15" customHeight="1" s="377">
      <c r="A22" s="54" t="n"/>
      <c r="B22" s="75" t="n"/>
      <c r="C22" s="75" t="n"/>
      <c r="D22" s="75" t="n"/>
      <c r="E22" s="75" t="n"/>
      <c r="F22" s="75" t="n"/>
      <c r="G22" s="76" t="n"/>
      <c r="H22" s="75" t="n"/>
      <c r="I22" s="75" t="n"/>
      <c r="J22" s="75" t="n"/>
      <c r="K22" s="75" t="n"/>
      <c r="L22" s="77" t="n"/>
      <c r="M22" s="75" t="n"/>
      <c r="N22" s="75" t="n"/>
      <c r="O22" s="75" t="n"/>
      <c r="P22" s="75" t="n"/>
      <c r="Q22" s="75" t="n"/>
      <c r="R22" s="75" t="n"/>
      <c r="S22" s="432" t="n"/>
      <c r="T22" s="75" t="n"/>
      <c r="U22" s="75" t="n"/>
      <c r="V22" s="75" t="n"/>
      <c r="W22" s="54" t="n"/>
    </row>
    <row r="23" ht="15.75" customHeight="1" s="377">
      <c r="B23" s="79" t="n"/>
      <c r="C23" s="79" t="n"/>
      <c r="D23" s="79" t="n"/>
      <c r="E23" s="80" t="n"/>
      <c r="F23" s="80" t="n"/>
      <c r="G23" s="80" t="n"/>
      <c r="H23" s="433" t="n"/>
      <c r="I23" s="434" t="n"/>
      <c r="J23" s="80" t="n"/>
      <c r="K23" s="80" t="n"/>
      <c r="L23" s="80" t="n"/>
    </row>
    <row r="24" ht="15.75" customHeight="1" s="377">
      <c r="A24" s="54" t="n"/>
      <c r="B24" s="82" t="inlineStr">
        <is>
          <t>años inversión</t>
        </is>
      </c>
      <c r="C24" s="82" t="inlineStr">
        <is>
          <t>rent. Esperada</t>
        </is>
      </c>
      <c r="D24" s="83" t="inlineStr">
        <is>
          <t>Precio actual</t>
        </is>
      </c>
      <c r="E24" s="57" t="inlineStr">
        <is>
          <t>Nota</t>
        </is>
      </c>
      <c r="F24" s="264" t="n"/>
      <c r="G24" s="264" t="n"/>
      <c r="H24" s="85" t="n"/>
      <c r="I24" s="85" t="n"/>
      <c r="J24" s="85" t="n"/>
      <c r="K24" s="85" t="n"/>
      <c r="L24" s="85" t="n"/>
      <c r="M24" s="86" t="n"/>
      <c r="N24" s="87" t="n"/>
      <c r="O24" s="88" t="n"/>
      <c r="P24" s="88" t="n"/>
      <c r="Q24" s="88" t="n"/>
      <c r="R24" s="89" t="n"/>
      <c r="S24" s="89" t="n"/>
      <c r="T24" s="89" t="n"/>
      <c r="U24" s="89" t="n"/>
      <c r="V24" s="89" t="n"/>
    </row>
    <row r="25" ht="15.75" customHeight="1" s="377">
      <c r="A25" s="54" t="n"/>
      <c r="B25" s="90" t="n">
        <v>10</v>
      </c>
      <c r="C25" s="299" t="n">
        <v>0.1</v>
      </c>
      <c r="D25" s="435" t="n">
        <v>238</v>
      </c>
      <c r="E25" s="92">
        <f>Examen!A2/10</f>
        <v/>
      </c>
      <c r="F25" s="93" t="n"/>
      <c r="G25" s="93" t="n"/>
      <c r="H25" s="94" t="n"/>
      <c r="I25" s="94" t="n"/>
      <c r="J25" s="94" t="n"/>
      <c r="K25" s="94" t="n"/>
      <c r="L25" s="94" t="n"/>
      <c r="M25" s="95" t="n"/>
      <c r="N25" s="87" t="n"/>
      <c r="O25" s="88" t="n"/>
      <c r="P25" s="88" t="n"/>
      <c r="Q25" s="88" t="n"/>
      <c r="R25" s="96" t="n"/>
      <c r="S25" s="96" t="n"/>
      <c r="T25" s="96" t="n"/>
      <c r="U25" s="96" t="n"/>
      <c r="V25" s="96" t="n"/>
    </row>
    <row r="26" ht="15.75" customHeight="1" s="377">
      <c r="A26" s="54" t="n"/>
      <c r="B26" s="97" t="n"/>
      <c r="C26" s="98" t="n"/>
      <c r="D26" s="436" t="n"/>
      <c r="E26" s="100" t="n"/>
      <c r="F26" s="93" t="n"/>
      <c r="G26" s="93" t="n"/>
      <c r="H26" s="94" t="n"/>
      <c r="I26" s="94" t="n"/>
      <c r="J26" s="94" t="n"/>
      <c r="K26" s="94" t="n"/>
      <c r="L26" s="94" t="n"/>
      <c r="M26" s="95" t="n"/>
      <c r="N26" s="87" t="n"/>
      <c r="O26" s="88" t="n"/>
      <c r="P26" s="88" t="n"/>
      <c r="Q26" s="88" t="n"/>
      <c r="R26" s="96" t="n"/>
      <c r="S26" s="96" t="n"/>
      <c r="T26" s="96" t="n"/>
      <c r="U26" s="96" t="n"/>
      <c r="V26" s="96" t="n"/>
    </row>
    <row r="27" ht="15.75" customHeight="1" s="377">
      <c r="A27" s="249" t="n"/>
      <c r="B27" s="260" t="n"/>
      <c r="D27" s="261" t="n"/>
      <c r="F27" s="93" t="n"/>
      <c r="G27" s="93" t="n"/>
      <c r="H27" s="94" t="n"/>
      <c r="I27" s="94" t="n"/>
      <c r="J27" s="94" t="n"/>
      <c r="K27" s="94" t="n"/>
      <c r="L27" s="94" t="n"/>
      <c r="M27" s="95" t="n"/>
      <c r="N27" s="87" t="n"/>
      <c r="O27" s="88" t="n"/>
      <c r="P27" s="88" t="n"/>
      <c r="Q27" s="88" t="n"/>
      <c r="R27" s="96" t="n"/>
      <c r="S27" s="96" t="n"/>
      <c r="T27" s="96" t="n"/>
      <c r="U27" s="96" t="n"/>
      <c r="V27" s="96" t="n"/>
    </row>
    <row r="28" ht="15.75" customHeight="1" s="377">
      <c r="A28" s="260" t="n"/>
      <c r="B28" s="251" t="n"/>
      <c r="C28" s="251" t="n"/>
      <c r="D28" s="93" t="n"/>
      <c r="E28" s="88" t="n"/>
      <c r="F28" s="264" t="n"/>
      <c r="G28" s="264" t="n"/>
      <c r="H28" s="85" t="n"/>
      <c r="I28" s="85" t="n"/>
      <c r="J28" s="85" t="n"/>
      <c r="K28" s="85" t="n"/>
      <c r="L28" s="85" t="n"/>
      <c r="M28" s="95" t="n"/>
      <c r="N28" s="87" t="n"/>
      <c r="O28" s="88" t="n"/>
      <c r="P28" s="88" t="n"/>
      <c r="Q28" s="88" t="n"/>
      <c r="R28" s="96" t="n"/>
      <c r="S28" s="96" t="n"/>
      <c r="T28" s="96" t="n"/>
      <c r="U28" s="96" t="n"/>
      <c r="V28" s="96" t="n"/>
    </row>
    <row r="29" ht="29.25" customHeight="1" s="377">
      <c r="A29" s="262" t="n"/>
      <c r="B29" s="281" t="n"/>
      <c r="C29" s="263" t="n"/>
      <c r="D29" s="264" t="n"/>
      <c r="E29" s="88" t="n"/>
      <c r="F29" s="93" t="n"/>
      <c r="G29" s="93" t="n"/>
      <c r="H29" s="94" t="n"/>
      <c r="I29" s="94" t="n"/>
      <c r="J29" s="94" t="n"/>
      <c r="K29" s="94" t="n"/>
      <c r="L29" s="94" t="n"/>
      <c r="M29" s="95" t="n"/>
      <c r="N29" s="87" t="n"/>
      <c r="O29" s="88" t="n"/>
      <c r="P29" s="88" t="n"/>
      <c r="Q29" s="88" t="n"/>
      <c r="R29" s="96" t="n"/>
      <c r="S29" s="96" t="n"/>
      <c r="T29" s="96" t="n"/>
      <c r="U29" s="96" t="n"/>
      <c r="V29" s="96" t="n"/>
    </row>
    <row r="30" ht="15.75" customHeight="1" s="377">
      <c r="E30" s="88" t="n"/>
      <c r="F30" s="93" t="n"/>
      <c r="G30" s="93" t="n"/>
      <c r="H30" s="94" t="n"/>
      <c r="I30" s="94" t="n"/>
      <c r="J30" s="94" t="n"/>
      <c r="K30" s="94" t="n"/>
      <c r="L30" s="94" t="n"/>
      <c r="M30" s="95" t="n"/>
      <c r="N30" s="87" t="n"/>
      <c r="O30" s="88" t="n"/>
      <c r="P30" s="88" t="n"/>
      <c r="Q30" s="88" t="n"/>
      <c r="R30" s="96" t="n"/>
      <c r="S30" s="96" t="n"/>
      <c r="T30" s="96" t="n"/>
      <c r="U30" s="96" t="n"/>
      <c r="V30" s="96" t="n"/>
    </row>
    <row r="31" ht="33" customHeight="1" s="377">
      <c r="A31" s="251" t="n"/>
      <c r="B31" s="392" t="inlineStr">
        <is>
          <t>Resumen BPA futuro y precio de salida por PER (precio actual en D25)</t>
        </is>
      </c>
      <c r="C31" s="437" t="inlineStr">
        <is>
          <t>Años</t>
        </is>
      </c>
      <c r="D31" s="394" t="inlineStr">
        <is>
          <t>BPA</t>
        </is>
      </c>
      <c r="E31" s="395" t="inlineStr">
        <is>
          <t>PER de salida (Escenarios)</t>
        </is>
      </c>
      <c r="F31" s="395" t="inlineStr">
        <is>
          <t>Precio de salida</t>
        </is>
      </c>
      <c r="G31" s="396" t="inlineStr">
        <is>
          <t>Rentabilidad anual vs precio actual</t>
        </is>
      </c>
      <c r="K31" s="85" t="n"/>
      <c r="L31" s="85" t="n"/>
      <c r="M31" s="95" t="n"/>
      <c r="N31" s="87" t="n"/>
      <c r="O31" s="88" t="n"/>
      <c r="P31" s="88" t="n"/>
      <c r="Q31" s="88" t="n"/>
      <c r="R31" s="96" t="n"/>
      <c r="S31" s="96" t="n"/>
      <c r="T31" s="96" t="n"/>
      <c r="U31" s="96" t="n"/>
      <c r="V31" s="96" t="n"/>
    </row>
    <row r="32" ht="15.75" customHeight="1" s="377">
      <c r="A32" s="251" t="n"/>
      <c r="B32" s="409" t="n"/>
      <c r="C32" s="409" t="n"/>
      <c r="D32" s="409" t="n"/>
      <c r="E32" s="409" t="n"/>
      <c r="F32" s="409" t="n"/>
      <c r="G32" s="410" t="n"/>
      <c r="K32" s="94" t="n"/>
      <c r="L32" s="94" t="n"/>
      <c r="M32" s="95" t="n"/>
      <c r="N32" s="87" t="n"/>
      <c r="O32" s="88" t="n"/>
      <c r="P32" s="88" t="n"/>
      <c r="Q32" s="88" t="n"/>
      <c r="R32" s="96" t="n"/>
      <c r="S32" s="96" t="n"/>
      <c r="T32" s="96" t="n"/>
      <c r="U32" s="96" t="n"/>
      <c r="V32" s="96" t="n"/>
    </row>
    <row r="33" ht="15.75" customHeight="1" s="377">
      <c r="A33" s="251" t="n"/>
      <c r="B33" s="438" t="inlineStr">
        <is>
          <t>Optimista</t>
        </is>
      </c>
      <c r="C33" s="439" t="n">
        <v>5</v>
      </c>
      <c r="D33" s="291">
        <f>'Proy. Optimista'!H25</f>
        <v/>
      </c>
      <c r="E33" s="440">
        <f>Escenarios!C$77</f>
        <v/>
      </c>
      <c r="F33" s="381">
        <f>$D33*E33</f>
        <v/>
      </c>
      <c r="G33" s="441">
        <f>(F33/$D$25)^(1/$C33)-1</f>
        <v/>
      </c>
      <c r="K33" s="94" t="n"/>
      <c r="L33" s="94" t="n"/>
      <c r="M33" s="95" t="n"/>
      <c r="N33" s="87" t="n"/>
      <c r="O33" s="88" t="n"/>
      <c r="P33" s="88" t="n"/>
      <c r="Q33" s="88" t="n"/>
      <c r="R33" s="96" t="n"/>
      <c r="S33" s="96" t="n"/>
      <c r="T33" s="96" t="n"/>
      <c r="U33" s="96" t="n"/>
      <c r="V33" s="96" t="n"/>
    </row>
    <row r="34" ht="34.5" customHeight="1" s="377">
      <c r="A34" s="251" t="n"/>
      <c r="B34" s="294" t="inlineStr">
        <is>
          <t>Base</t>
        </is>
      </c>
      <c r="C34" s="442" t="n">
        <v>5</v>
      </c>
      <c r="D34" s="296">
        <f>'Proy. Base'!H25</f>
        <v/>
      </c>
      <c r="E34" s="443">
        <f>Escenarios!D$77</f>
        <v/>
      </c>
      <c r="F34" s="382">
        <f>$D34*E34</f>
        <v/>
      </c>
      <c r="G34" s="444">
        <f>(F34/$D$25)^(1/$C34)-1</f>
        <v/>
      </c>
      <c r="K34" s="85" t="n"/>
      <c r="L34" s="85" t="n"/>
      <c r="M34" s="95" t="n"/>
      <c r="N34" s="87" t="n"/>
      <c r="O34" s="88" t="n"/>
      <c r="P34" s="88" t="n"/>
      <c r="Q34" s="88" t="n"/>
      <c r="R34" s="96" t="n"/>
      <c r="S34" s="96" t="n"/>
      <c r="T34" s="96" t="n"/>
      <c r="U34" s="96" t="n"/>
      <c r="V34" s="96" t="n"/>
    </row>
    <row r="35" ht="15.75" customHeight="1" s="377">
      <c r="A35" s="251" t="n"/>
      <c r="B35" s="445" t="inlineStr">
        <is>
          <t>Adverso</t>
        </is>
      </c>
      <c r="C35" s="446" t="n">
        <v>5</v>
      </c>
      <c r="D35" s="292">
        <f>'Proy. Adverso'!H25</f>
        <v/>
      </c>
      <c r="E35" s="447">
        <f>Escenarios!E$77</f>
        <v/>
      </c>
      <c r="F35" s="399">
        <f>$D35*E35</f>
        <v/>
      </c>
      <c r="G35" s="448">
        <f>(F35/$D$25)^(1/$C35)-1</f>
        <v/>
      </c>
      <c r="K35" s="85" t="n"/>
      <c r="L35" s="85" t="n"/>
      <c r="M35" s="95" t="n"/>
      <c r="N35" s="87" t="n"/>
      <c r="O35" s="88" t="n"/>
      <c r="P35" s="88" t="n"/>
      <c r="Q35" s="88" t="n"/>
      <c r="R35" s="96" t="n"/>
      <c r="S35" s="96" t="n"/>
      <c r="T35" s="96" t="n"/>
      <c r="U35" s="96" t="n"/>
      <c r="V35" s="96" t="n"/>
    </row>
    <row r="36" ht="15.75" customFormat="1" customHeight="1" s="257">
      <c r="A36" s="251" t="n"/>
      <c r="B36" s="449" t="n"/>
      <c r="C36" s="450" t="n"/>
      <c r="D36" s="283" t="n"/>
      <c r="E36" s="401" t="n"/>
      <c r="F36" s="401" t="n"/>
      <c r="G36" s="402" t="n"/>
      <c r="K36" s="85" t="n"/>
      <c r="L36" s="85" t="n"/>
      <c r="M36" s="95" t="n"/>
      <c r="N36" s="87" t="n"/>
      <c r="O36" s="88" t="n"/>
      <c r="P36" s="88" t="n"/>
      <c r="Q36" s="88" t="n"/>
      <c r="R36" s="96" t="n"/>
      <c r="S36" s="96" t="n"/>
      <c r="T36" s="96" t="n"/>
      <c r="U36" s="96" t="n"/>
      <c r="V36" s="96" t="n"/>
    </row>
    <row r="37" ht="33.75" customHeight="1" s="377">
      <c r="A37" s="251" t="n"/>
      <c r="B37" s="451" t="inlineStr">
        <is>
          <t>Optimista</t>
        </is>
      </c>
      <c r="C37" s="439" t="n">
        <v>10</v>
      </c>
      <c r="D37" s="291">
        <f>'Proy. Optimista'!M25</f>
        <v/>
      </c>
      <c r="E37" s="440">
        <f>Escenarios!C$77</f>
        <v/>
      </c>
      <c r="F37" s="381">
        <f>$D37*E37</f>
        <v/>
      </c>
      <c r="G37" s="441">
        <f>(F37/$D$25)^(1/$C37)-1</f>
        <v/>
      </c>
      <c r="K37" s="94" t="n"/>
      <c r="L37" s="94" t="n"/>
      <c r="M37" s="95" t="n"/>
      <c r="N37" s="87" t="n"/>
      <c r="O37" s="88" t="n"/>
      <c r="P37" s="88" t="n"/>
      <c r="Q37" s="88" t="n"/>
      <c r="R37" s="96" t="n"/>
      <c r="S37" s="96" t="n"/>
      <c r="T37" s="96" t="n"/>
      <c r="U37" s="96" t="n"/>
      <c r="V37" s="96" t="n"/>
    </row>
    <row r="38" ht="40.5" customHeight="1" s="377">
      <c r="A38" s="252" t="n"/>
      <c r="B38" s="452" t="inlineStr">
        <is>
          <t>Base</t>
        </is>
      </c>
      <c r="C38" s="453" t="n">
        <v>10</v>
      </c>
      <c r="D38" s="287">
        <f>'Proy. Base'!M25</f>
        <v/>
      </c>
      <c r="E38" s="443">
        <f>Escenarios!D$77</f>
        <v/>
      </c>
      <c r="F38" s="382">
        <f>$D38*E38</f>
        <v/>
      </c>
      <c r="G38" s="444">
        <f>(F38/$D$25)^(1/$C38)-1</f>
        <v/>
      </c>
      <c r="K38" s="85" t="n"/>
      <c r="L38" s="85" t="n"/>
      <c r="M38" s="95" t="n"/>
      <c r="N38" s="87" t="n"/>
      <c r="O38" s="88" t="n"/>
      <c r="P38" s="88" t="n"/>
      <c r="Q38" s="88" t="n"/>
      <c r="R38" s="96" t="n"/>
      <c r="S38" s="96" t="n"/>
      <c r="T38" s="96" t="n"/>
      <c r="U38" s="96" t="n"/>
      <c r="V38" s="96" t="n"/>
    </row>
    <row r="39" ht="22.5" customHeight="1" s="377" thickBot="1">
      <c r="A39" s="254" t="n"/>
      <c r="B39" s="387" t="inlineStr">
        <is>
          <t>Adverso</t>
        </is>
      </c>
      <c r="C39" s="454" t="n">
        <v>10</v>
      </c>
      <c r="D39" s="288">
        <f>'Proy. Adverso'!M25</f>
        <v/>
      </c>
      <c r="E39" s="455">
        <f>Escenarios!E$77</f>
        <v/>
      </c>
      <c r="F39" s="383">
        <f>$D39*E39</f>
        <v/>
      </c>
      <c r="G39" s="456">
        <f>(F39/$D$25)^(1/$C39)-1</f>
        <v/>
      </c>
      <c r="K39" s="85" t="n"/>
      <c r="L39" s="85" t="n"/>
      <c r="M39" s="95" t="n"/>
      <c r="N39" s="87" t="n"/>
      <c r="O39" s="88" t="n"/>
      <c r="P39" s="88" t="n"/>
      <c r="Q39" s="88" t="n"/>
      <c r="R39" s="96" t="n"/>
      <c r="S39" s="102" t="n"/>
      <c r="T39" s="96" t="n"/>
      <c r="U39" s="96" t="n"/>
      <c r="V39" s="96" t="n"/>
    </row>
    <row r="40" ht="15.75" customHeight="1" s="377">
      <c r="A40" s="251" t="n"/>
      <c r="B40" s="457" t="n"/>
      <c r="C40" s="88" t="n"/>
      <c r="D40" s="88" t="n"/>
      <c r="E40" s="88" t="n"/>
      <c r="F40" s="458" t="n"/>
      <c r="G40" s="458" t="n"/>
      <c r="H40" s="458" t="n"/>
      <c r="I40" s="85" t="n"/>
      <c r="J40" s="85" t="n"/>
      <c r="K40" s="85" t="n"/>
      <c r="L40" s="85" t="n"/>
      <c r="M40" s="95" t="n"/>
      <c r="N40" s="87" t="n"/>
      <c r="O40" s="88" t="n"/>
      <c r="P40" s="88" t="n"/>
      <c r="Q40" s="86" t="n"/>
      <c r="R40" s="103" t="n"/>
      <c r="S40" s="102" t="n"/>
      <c r="T40" s="96" t="n"/>
      <c r="U40" s="96" t="n"/>
      <c r="V40" s="96" t="n"/>
    </row>
    <row r="41" ht="15.75" customHeight="1" s="377">
      <c r="A41" s="252" t="n"/>
      <c r="B41" s="459" t="n"/>
      <c r="C41" s="459" t="n"/>
      <c r="D41" s="88" t="n"/>
      <c r="E41" s="88" t="n"/>
      <c r="F41" s="458" t="n"/>
      <c r="G41" s="458" t="n"/>
      <c r="H41" s="458" t="n"/>
      <c r="I41" s="94" t="n"/>
      <c r="J41" s="94" t="n"/>
      <c r="K41" s="94" t="n"/>
      <c r="L41" s="94" t="n"/>
      <c r="M41" s="95" t="n"/>
      <c r="N41" s="87" t="n"/>
      <c r="O41" s="88" t="n"/>
      <c r="P41" s="88" t="n"/>
      <c r="Q41" s="87" t="n"/>
      <c r="R41" s="103" t="n"/>
      <c r="S41" s="87" t="n"/>
      <c r="T41" s="103" t="n"/>
      <c r="U41" s="96" t="n"/>
      <c r="V41" s="96" t="n"/>
    </row>
    <row r="42" ht="15.75" customHeight="1" s="377">
      <c r="A42" s="254" t="n"/>
      <c r="B42" s="255" t="n"/>
      <c r="C42" s="255" t="n"/>
      <c r="D42" s="88" t="n"/>
      <c r="E42" s="88" t="n"/>
      <c r="F42" s="458" t="n"/>
      <c r="G42" s="458" t="n"/>
      <c r="H42" s="458" t="n"/>
      <c r="I42" s="94" t="n"/>
      <c r="J42" s="94" t="n"/>
      <c r="K42" s="94" t="n"/>
      <c r="L42" s="94" t="n"/>
      <c r="O42" s="104" t="n"/>
      <c r="P42" s="104" t="n"/>
      <c r="R42" s="105" t="n"/>
      <c r="T42" s="105" t="n"/>
      <c r="U42" s="105" t="n"/>
      <c r="V42" s="105" t="n"/>
    </row>
    <row r="43" ht="15.75" customHeight="1" s="377">
      <c r="A43" s="248" t="n"/>
      <c r="B43" s="460" t="inlineStr">
        <is>
          <t>Análisis de riesgo de la inversión en ADBE (método «Parte II · El riesgo»)</t>
        </is>
      </c>
      <c r="C43" s="300" t="n"/>
      <c r="D43" s="301" t="n"/>
      <c r="E43" s="301" t="n"/>
      <c r="F43" s="461" t="n"/>
      <c r="G43" s="461" t="n"/>
      <c r="H43" s="461" t="n"/>
      <c r="I43" s="303" t="n"/>
      <c r="J43" s="303" t="n"/>
      <c r="K43" s="303" t="n"/>
      <c r="L43" s="303" t="n"/>
      <c r="O43" s="104" t="n"/>
      <c r="P43" s="104" t="n"/>
      <c r="R43" s="105" t="n"/>
      <c r="T43" s="105" t="n"/>
      <c r="U43" s="105" t="n"/>
      <c r="V43" s="105" t="n"/>
    </row>
    <row r="44" ht="15.75" customHeight="1" s="377">
      <c r="A44" s="252" t="n"/>
      <c r="B44" s="310" t="inlineStr">
        <is>
          <t>Todo enlazado a la hoja Escenarios y a las proyecciones. Azul: datos que puedes cambiar · Verde: enlaces · Amarillo: resultados clave.</t>
        </is>
      </c>
      <c r="C44" s="304" t="n"/>
      <c r="D44" s="301" t="n"/>
      <c r="E44" s="301" t="n"/>
      <c r="F44" s="461" t="n"/>
      <c r="G44" s="461" t="n"/>
      <c r="H44" s="461" t="n"/>
      <c r="I44" s="303" t="n"/>
      <c r="J44" s="303" t="n"/>
      <c r="K44" s="303" t="n"/>
      <c r="L44" s="303" t="n"/>
    </row>
    <row r="45" ht="15.75" customHeight="1" s="377">
      <c r="A45" s="254" t="n"/>
      <c r="B45" s="300" t="n"/>
      <c r="C45" s="300" t="n"/>
      <c r="D45" s="301" t="n"/>
      <c r="E45" s="301" t="n"/>
      <c r="F45" s="461" t="n"/>
      <c r="G45" s="461" t="n"/>
      <c r="H45" s="461" t="n"/>
      <c r="I45" s="305" t="n"/>
      <c r="J45" s="305" t="n"/>
      <c r="K45" s="305" t="n"/>
      <c r="L45" s="305" t="n"/>
    </row>
    <row r="46" ht="15.75" customFormat="1" customHeight="1" s="87">
      <c r="A46" s="248" t="n"/>
      <c r="B46" s="312" t="inlineStr">
        <is>
          <t>1. Umbral: lo que el precio exige al futuro</t>
        </is>
      </c>
      <c r="C46" s="313" t="n"/>
      <c r="D46" s="314" t="n"/>
      <c r="E46" s="314" t="n"/>
      <c r="F46" s="462" t="n"/>
      <c r="G46" s="462" t="n"/>
      <c r="H46" s="462" t="n"/>
      <c r="I46" s="316" t="n"/>
      <c r="J46" s="316" t="n"/>
      <c r="K46" s="316" t="n"/>
      <c r="L46" s="316" t="n"/>
    </row>
    <row r="47" ht="15.75" customHeight="1" s="377">
      <c r="A47" s="257" t="n"/>
      <c r="B47" s="333" t="inlineStr">
        <is>
          <t>Precio pagado P (USD)</t>
        </is>
      </c>
      <c r="C47" s="352">
        <f>Escenarios!B5</f>
        <v/>
      </c>
      <c r="D47" s="339" t="inlineStr">
        <is>
          <t>Precio actual de la acción</t>
        </is>
      </c>
      <c r="E47" s="461" t="n"/>
      <c r="F47" s="461" t="n"/>
      <c r="G47" s="461" t="n"/>
      <c r="H47" s="463" t="n"/>
      <c r="I47" s="463" t="n"/>
      <c r="J47" s="305" t="n"/>
      <c r="K47" s="305" t="n"/>
      <c r="L47" s="305" t="n"/>
    </row>
    <row r="48" ht="15.75" customHeight="1" s="377">
      <c r="A48" s="257" t="n"/>
      <c r="B48" s="333" t="inlineStr">
        <is>
          <t>Rentabilidad exigida r</t>
        </is>
      </c>
      <c r="C48" s="464">
        <f>Escenarios!B7</f>
        <v/>
      </c>
      <c r="D48" s="339" t="inlineStr">
        <is>
          <t>Coste de oportunidad, sin prima de riesgo (el riesgo va en los escenarios)</t>
        </is>
      </c>
      <c r="E48" s="461" t="n"/>
      <c r="F48" s="461" t="n"/>
      <c r="G48" s="461" t="n"/>
      <c r="H48" s="463" t="n"/>
      <c r="I48" s="463" t="n"/>
      <c r="J48" s="305" t="n"/>
      <c r="K48" s="305" t="n"/>
      <c r="L48" s="305" t="n"/>
    </row>
    <row r="49" ht="15.75" customHeight="1" s="377">
      <c r="A49" s="257" t="n"/>
      <c r="B49" s="333" t="inlineStr">
        <is>
          <t>Horizonte n (años)</t>
        </is>
      </c>
      <c r="C49" s="351">
        <f>Escenarios!B8</f>
        <v/>
      </c>
      <c r="D49" s="339" t="inlineStr">
        <is>
          <t>Plazo del test de cobertura</t>
        </is>
      </c>
      <c r="E49" s="461" t="n"/>
      <c r="F49" s="461" t="n"/>
      <c r="G49" s="461" t="n"/>
      <c r="H49" s="463" t="n"/>
      <c r="I49" s="463" t="n"/>
      <c r="J49" s="305" t="n"/>
      <c r="K49" s="305" t="n"/>
      <c r="L49" s="305" t="n"/>
    </row>
    <row r="50" ht="15.75" customHeight="1" s="377">
      <c r="A50" s="257" t="n"/>
      <c r="B50" s="333" t="inlineStr">
        <is>
          <t>PER pagado</t>
        </is>
      </c>
      <c r="C50" s="465">
        <f>Escenarios!B13</f>
        <v/>
      </c>
      <c r="D50" s="339" t="inlineStr">
        <is>
          <t>Precio / BPA del último ejercicio</t>
        </is>
      </c>
      <c r="E50" s="461" t="n"/>
      <c r="F50" s="461" t="n"/>
      <c r="G50" s="461" t="n"/>
      <c r="H50" s="463" t="n"/>
      <c r="I50" s="463" t="n"/>
      <c r="J50" s="305" t="n"/>
      <c r="K50" s="305" t="n"/>
      <c r="L50" s="305" t="n"/>
    </row>
    <row r="51" ht="15.75" customHeight="1" s="377">
      <c r="A51" s="257" t="n"/>
      <c r="B51" s="333" t="inlineStr">
        <is>
          <t>Margen de seguridad exigido</t>
        </is>
      </c>
      <c r="C51" s="464">
        <f>Escenarios!B9</f>
        <v/>
      </c>
      <c r="D51" s="333" t="inlineStr">
        <is>
          <t>Distancia mínima deseada entre valor estimado y precio</t>
        </is>
      </c>
      <c r="E51" s="305" t="n"/>
      <c r="F51" s="305" t="n"/>
      <c r="G51" s="305" t="n"/>
      <c r="H51" s="305" t="n"/>
      <c r="I51" s="305" t="n"/>
      <c r="J51" s="305" t="n"/>
      <c r="K51" s="305" t="n"/>
      <c r="L51" s="305" t="n"/>
    </row>
    <row r="52" ht="15.75" customHeight="1" s="377">
      <c r="A52" s="251" t="n"/>
      <c r="B52" s="466" t="n"/>
      <c r="C52" s="307" t="n"/>
      <c r="D52" s="305" t="n"/>
      <c r="E52" s="305" t="n"/>
      <c r="F52" s="305" t="n"/>
      <c r="G52" s="305" t="n"/>
      <c r="H52" s="305" t="n"/>
      <c r="I52" s="305" t="n"/>
      <c r="J52" s="305" t="n"/>
      <c r="K52" s="305" t="n"/>
      <c r="L52" s="305" t="n"/>
    </row>
    <row r="53" ht="15.75" customHeight="1" s="377">
      <c r="A53" s="251" t="n"/>
      <c r="B53" s="317" t="inlineStr">
        <is>
          <t>2. Distribución de valores futuros en el año n</t>
        </is>
      </c>
      <c r="C53" s="318" t="n"/>
      <c r="D53" s="316" t="n"/>
      <c r="E53" s="316" t="n"/>
      <c r="F53" s="316" t="n"/>
      <c r="G53" s="316" t="n"/>
      <c r="H53" s="316" t="n"/>
      <c r="I53" s="316" t="n"/>
      <c r="J53" s="316" t="n"/>
      <c r="K53" s="316" t="n"/>
      <c r="L53" s="316" t="n"/>
    </row>
    <row r="54" ht="45" customHeight="1" s="377">
      <c r="A54" s="252" t="n"/>
      <c r="B54" s="467" t="inlineStr">
        <is>
          <t>Escenario</t>
        </is>
      </c>
      <c r="C54" s="467" t="inlineStr">
        <is>
          <t>Valor futuro (VF)</t>
        </is>
      </c>
      <c r="D54" s="322" t="inlineStr">
        <is>
          <t>Probabilidad</t>
        </is>
      </c>
      <c r="E54" s="322" t="inlineStr">
        <is>
          <t>Rentabilidad anual</t>
        </is>
      </c>
      <c r="F54" s="322" t="inlineStr">
        <is>
          <t>Exceso (+) / déficit (−) vs umbral</t>
        </is>
      </c>
      <c r="G54" s="322" t="inlineStr">
        <is>
          <t>Ponderado por probabilidad</t>
        </is>
      </c>
      <c r="H54" s="322" t="inlineStr">
        <is>
          <t>% del riesgo asumido</t>
        </is>
      </c>
      <c r="I54" s="305" t="n"/>
      <c r="J54" s="322" t="inlineStr">
        <is>
          <t>Probabilidad de prueba</t>
        </is>
      </c>
      <c r="K54" s="322" t="inlineStr">
        <is>
          <t>Ponderado (prueba)</t>
        </is>
      </c>
      <c r="L54" s="322" t="inlineStr">
        <is>
          <t>Nota</t>
        </is>
      </c>
    </row>
    <row r="55" ht="15.75" customHeight="1" s="377">
      <c r="A55" s="254" t="n"/>
      <c r="B55" s="368">
        <f>Escenarios!C101</f>
        <v/>
      </c>
      <c r="C55" s="369">
        <f>Escenarios!C107</f>
        <v/>
      </c>
      <c r="D55" s="464">
        <f>Escenarios!C109</f>
        <v/>
      </c>
      <c r="E55" s="468">
        <f>(C55/$C$47)^(1/$C$49)-1</f>
        <v/>
      </c>
      <c r="F55" s="325">
        <f>C55-$C$62</f>
        <v/>
      </c>
      <c r="G55" s="325">
        <f>D55*F55</f>
        <v/>
      </c>
      <c r="H55" s="469">
        <f>IF(G55&lt;0,G55/SUMIF($G$55:$G$58,"&lt;0"),0)</f>
        <v/>
      </c>
      <c r="I55" s="305" t="n"/>
      <c r="J55" s="470" t="n">
        <v>0.15</v>
      </c>
      <c r="K55" s="325">
        <f>J55*F55</f>
        <v/>
      </c>
      <c r="L55" s="333" t="inlineStr">
        <is>
          <t>Paso 10: desconfiar y acotar. Engorda la cola izquierda sin tocar la estimación principal.</t>
        </is>
      </c>
    </row>
    <row r="56" ht="15.75" customHeight="1" s="377">
      <c r="A56" s="252" t="n"/>
      <c r="B56" s="471">
        <f>Escenarios!D101</f>
        <v/>
      </c>
      <c r="C56" s="369">
        <f>Escenarios!D107</f>
        <v/>
      </c>
      <c r="D56" s="464">
        <f>Escenarios!D109</f>
        <v/>
      </c>
      <c r="E56" s="468">
        <f>(C56/$C$47)^(1/$C$49)-1</f>
        <v/>
      </c>
      <c r="F56" s="325">
        <f>C56-$C$62</f>
        <v/>
      </c>
      <c r="G56" s="325">
        <f>D56*F56</f>
        <v/>
      </c>
      <c r="H56" s="469">
        <f>IF(G56&lt;0,G56/SUMIF($G$55:$G$58,"&lt;0"),0)</f>
        <v/>
      </c>
      <c r="I56" s="305" t="n"/>
      <c r="J56" s="470" t="n">
        <v>0.4</v>
      </c>
      <c r="K56" s="325">
        <f>J56*F56</f>
        <v/>
      </c>
      <c r="L56" s="334" t="n"/>
    </row>
    <row r="57" ht="15.75" customHeight="1" s="377">
      <c r="A57" s="254" t="n"/>
      <c r="B57" s="368">
        <f>Escenarios!E101</f>
        <v/>
      </c>
      <c r="C57" s="369">
        <f>Escenarios!E107</f>
        <v/>
      </c>
      <c r="D57" s="464">
        <f>Escenarios!E109</f>
        <v/>
      </c>
      <c r="E57" s="468">
        <f>(C57/$C$47)^(1/$C$49)-1</f>
        <v/>
      </c>
      <c r="F57" s="325">
        <f>C57-$C$62</f>
        <v/>
      </c>
      <c r="G57" s="325">
        <f>D57*F57</f>
        <v/>
      </c>
      <c r="H57" s="469">
        <f>IF(G57&lt;0,G57/SUMIF($G$55:$G$58,"&lt;0"),0)</f>
        <v/>
      </c>
      <c r="I57" s="305" t="n"/>
      <c r="J57" s="470" t="n">
        <v>0.3</v>
      </c>
      <c r="K57" s="325">
        <f>J57*F57</f>
        <v/>
      </c>
      <c r="L57" s="334" t="n"/>
    </row>
    <row r="58" ht="15.75" customHeight="1" s="377">
      <c r="A58" s="252" t="n"/>
      <c r="B58" s="471">
        <f>Escenarios!F101</f>
        <v/>
      </c>
      <c r="C58" s="369">
        <f>Escenarios!F107</f>
        <v/>
      </c>
      <c r="D58" s="464">
        <f>Escenarios!F109</f>
        <v/>
      </c>
      <c r="E58" s="468">
        <f>(C58/$C$47)^(1/$C$49)-1</f>
        <v/>
      </c>
      <c r="F58" s="325">
        <f>C58-$C$62</f>
        <v/>
      </c>
      <c r="G58" s="325">
        <f>D58*F58</f>
        <v/>
      </c>
      <c r="H58" s="469">
        <f>IF(G58&lt;0,G58/SUMIF($G$55:$G$58,"&lt;0"),0)</f>
        <v/>
      </c>
      <c r="I58" s="305" t="n"/>
      <c r="J58" s="470" t="n">
        <v>0.15</v>
      </c>
      <c r="K58" s="325">
        <f>J58*F58</f>
        <v/>
      </c>
      <c r="L58" s="334" t="n"/>
    </row>
    <row r="59" ht="15.75" customHeight="1" s="377">
      <c r="A59" s="254" t="n"/>
      <c r="B59" s="327" t="inlineStr">
        <is>
          <t>Total / media</t>
        </is>
      </c>
      <c r="C59" s="328">
        <f>SUMPRODUCT(C55:C58,D55:D58)</f>
        <v/>
      </c>
      <c r="D59" s="472">
        <f>SUM(D55:D58)</f>
        <v/>
      </c>
      <c r="E59" s="473">
        <f>(C59/$C$47)^(1/$C$49)-1</f>
        <v/>
      </c>
      <c r="F59" s="331" t="n"/>
      <c r="G59" s="331">
        <f>SUM(G55:G58)</f>
        <v/>
      </c>
      <c r="H59" s="472">
        <f>SUM(H55:H58)</f>
        <v/>
      </c>
      <c r="I59" s="305" t="n"/>
      <c r="J59" s="472">
        <f>SUM(J55:J58)</f>
        <v/>
      </c>
      <c r="K59" s="331">
        <f>SUM(K55:K58)</f>
        <v/>
      </c>
      <c r="L59" s="334" t="n"/>
    </row>
    <row r="60" ht="15.75" customHeight="1" s="377">
      <c r="A60" s="257" t="n"/>
      <c r="B60" s="305" t="n"/>
      <c r="C60" s="305" t="n"/>
      <c r="D60" s="305" t="n"/>
      <c r="E60" s="305" t="n"/>
      <c r="F60" s="305" t="n"/>
      <c r="G60" s="305" t="n"/>
      <c r="H60" s="305" t="n"/>
      <c r="I60" s="305" t="n"/>
      <c r="J60" s="305" t="n"/>
      <c r="K60" s="305" t="n"/>
      <c r="L60" s="305" t="n"/>
    </row>
    <row r="61" ht="15.75" customHeight="1" s="377">
      <c r="A61" s="258" t="n"/>
      <c r="B61" s="312" t="inlineStr">
        <is>
          <t>3. Test de cobertura</t>
        </is>
      </c>
      <c r="C61" s="313" t="n"/>
      <c r="D61" s="316" t="n"/>
      <c r="E61" s="316" t="n"/>
      <c r="F61" s="316" t="n"/>
      <c r="G61" s="316" t="n"/>
      <c r="H61" s="316" t="n"/>
      <c r="I61" s="316" t="n"/>
      <c r="J61" s="316" t="n"/>
      <c r="K61" s="316" t="n"/>
      <c r="L61" s="316" t="n"/>
    </row>
    <row r="62" ht="15.75" customHeight="1" s="377">
      <c r="A62" s="258" t="n"/>
      <c r="B62" s="474" t="inlineStr">
        <is>
          <t>Umbral: VF requerido = P × (1 + r)^n</t>
        </is>
      </c>
      <c r="C62" s="372">
        <f>C47*(1+C48)^C49</f>
        <v/>
      </c>
      <c r="D62" s="333" t="inlineStr">
        <is>
          <t>Lo que debe valer la acción en el año n para obtener r</t>
        </is>
      </c>
      <c r="E62" s="305" t="n"/>
      <c r="H62" s="305" t="n"/>
      <c r="I62" s="305" t="n"/>
      <c r="J62" s="322" t="inlineStr">
        <is>
          <t>Prueba de la cola izquierda</t>
        </is>
      </c>
      <c r="K62" s="475" t="n"/>
      <c r="L62" s="305" t="n"/>
    </row>
    <row r="63" ht="15.75" customHeight="1" s="377">
      <c r="A63" s="251" t="n"/>
      <c r="B63" s="374" t="inlineStr">
        <is>
          <t>Valor futuro esperado E[VF]</t>
        </is>
      </c>
      <c r="C63" s="372">
        <f>C59</f>
        <v/>
      </c>
      <c r="D63" s="333" t="inlineStr">
        <is>
          <t>Media de la distribución</t>
        </is>
      </c>
      <c r="E63" s="305" t="n"/>
      <c r="H63" s="305" t="n"/>
      <c r="I63" s="305" t="n"/>
      <c r="J63" s="333" t="inlineStr">
        <is>
          <t>Riesgo de no compensación</t>
        </is>
      </c>
      <c r="K63" s="469">
        <f>SUMIF(F55:F58,"&lt;0",J55:J58)</f>
        <v/>
      </c>
      <c r="L63" s="305" t="n"/>
    </row>
    <row r="64" ht="15.75" customHeight="1" s="377">
      <c r="A64" s="252" t="n"/>
      <c r="B64" s="476" t="inlineStr">
        <is>
          <t>Riesgo de no compensación</t>
        </is>
      </c>
      <c r="C64" s="477">
        <f>SUMIF(F55:F58,"&lt;0",D55:D58)</f>
        <v/>
      </c>
      <c r="D64" s="333" t="inlineStr">
        <is>
          <t>Probabilidad de no alcanzar el umbral (cuántas veces se falla)</t>
        </is>
      </c>
      <c r="E64" s="305" t="n"/>
      <c r="H64" s="305" t="n"/>
      <c r="I64" s="305" t="n"/>
      <c r="J64" s="333" t="inlineStr">
        <is>
          <t>Riesgo asumido</t>
        </is>
      </c>
      <c r="K64" s="348">
        <f>-SUMIF(K55:K58,"&lt;0")</f>
        <v/>
      </c>
      <c r="L64" s="305" t="n"/>
    </row>
    <row r="65" ht="15.75" customHeight="1" s="377">
      <c r="A65" s="254" t="n"/>
      <c r="B65" s="371" t="inlineStr">
        <is>
          <t>Riesgo asumido</t>
        </is>
      </c>
      <c r="C65" s="337">
        <f>-SUMIF(G55:G58,"&lt;0")</f>
        <v/>
      </c>
      <c r="D65" s="333" t="inlineStr">
        <is>
          <t>Déficit esperado bajo el umbral</t>
        </is>
      </c>
      <c r="E65" s="305" t="n"/>
      <c r="H65" s="305" t="n"/>
      <c r="I65" s="305" t="n"/>
      <c r="J65" s="333" t="inlineStr">
        <is>
          <t>Oportunidad asumida</t>
        </is>
      </c>
      <c r="K65" s="348">
        <f>SUMIF(K55:K58,"&gt;0")</f>
        <v/>
      </c>
      <c r="L65" s="305" t="n"/>
    </row>
    <row r="66" ht="15.75" customHeight="1" s="377">
      <c r="A66" s="252" t="n"/>
      <c r="B66" s="476" t="inlineStr">
        <is>
          <t>Déficit medio cuando no compensa</t>
        </is>
      </c>
      <c r="C66" s="341">
        <f>IFERROR(C65/C64,0)</f>
        <v/>
      </c>
      <c r="D66" s="333" t="inlineStr">
        <is>
          <t>Por cuánto se falla cuando se falla</t>
        </is>
      </c>
      <c r="E66" s="305" t="n"/>
      <c r="H66" s="305" t="n"/>
      <c r="I66" s="305" t="n"/>
      <c r="J66" s="333" t="inlineStr">
        <is>
          <t>Cobertura (prueba)</t>
        </is>
      </c>
      <c r="K66" s="478">
        <f>IFERROR(K65/K64,"Sin cola izquierda")</f>
        <v/>
      </c>
      <c r="L66" s="305" t="n"/>
    </row>
    <row r="67" ht="15.75" customHeight="1" s="377">
      <c r="A67" s="254" t="n"/>
      <c r="B67" s="371" t="inlineStr">
        <is>
          <t>Oportunidad asumida</t>
        </is>
      </c>
      <c r="C67" s="337">
        <f>SUMIF(G55:G58,"&gt;0")</f>
        <v/>
      </c>
      <c r="D67" s="333" t="inlineStr">
        <is>
          <t>Exceso esperado sobre el umbral</t>
        </is>
      </c>
      <c r="E67" s="305" t="n"/>
      <c r="F67" s="305" t="n"/>
      <c r="G67" s="305" t="n"/>
      <c r="H67" s="305" t="n"/>
      <c r="I67" s="305" t="n"/>
      <c r="J67" s="305" t="n"/>
      <c r="K67" s="305" t="n"/>
      <c r="L67" s="305" t="n"/>
    </row>
    <row r="68" ht="15.75" customHeight="1" s="377">
      <c r="A68" s="252" t="n"/>
      <c r="B68" s="476" t="inlineStr">
        <is>
          <t>Valor asumido (oportunidad − riesgo)</t>
        </is>
      </c>
      <c r="C68" s="341">
        <f>C67-C65</f>
        <v/>
      </c>
      <c r="D68" s="333" t="inlineStr">
        <is>
          <t>Igual a E[VF] − umbral, en dinero del año n</t>
        </is>
      </c>
      <c r="E68" s="305" t="n"/>
      <c r="F68" s="305" t="n"/>
      <c r="G68" s="305" t="n"/>
      <c r="H68" s="305" t="n"/>
      <c r="I68" s="305" t="n"/>
      <c r="J68" s="305" t="n"/>
      <c r="K68" s="305" t="n"/>
      <c r="L68" s="305" t="n"/>
    </row>
    <row r="69" ht="15.75" customHeight="1" s="377">
      <c r="A69" s="254" t="n"/>
      <c r="B69" s="371" t="inlineStr">
        <is>
          <t>Cobertura asumida (oportunidad / riesgo)</t>
        </is>
      </c>
      <c r="C69" s="479">
        <f>IFERROR(C67/C65,"Sin cola izquierda")</f>
        <v/>
      </c>
      <c r="D69" s="333" t="inlineStr">
        <is>
          <t>Compensa si es mayor que 1</t>
        </is>
      </c>
      <c r="E69" s="305" t="n"/>
      <c r="F69" s="305" t="n"/>
      <c r="G69" s="305" t="n"/>
      <c r="H69" s="305" t="n"/>
      <c r="I69" s="305" t="n"/>
      <c r="J69" s="305" t="n"/>
      <c r="K69" s="305" t="n"/>
      <c r="L69" s="305" t="n"/>
    </row>
    <row r="70" ht="15.75" customHeight="1" s="377">
      <c r="A70" s="257" t="n"/>
      <c r="B70" s="339" t="inlineStr">
        <is>
          <t>Veredicto</t>
        </is>
      </c>
      <c r="C70" s="340">
        <f>IF(ROUND(C68,6)&gt;0,"Compensa",IF(ROUND(C68,6)=0,"Equilibrio","No compensa"))</f>
        <v/>
      </c>
      <c r="D70" s="333" t="inlineStr">
        <is>
          <t>Bajo esta distribución, este precio y este horizonte</t>
        </is>
      </c>
      <c r="E70" s="305" t="n"/>
      <c r="F70" s="305" t="n"/>
      <c r="G70" s="305" t="n"/>
      <c r="H70" s="305" t="n"/>
      <c r="I70" s="305" t="n"/>
      <c r="J70" s="305" t="n"/>
      <c r="K70" s="305" t="n"/>
      <c r="L70" s="305" t="n"/>
    </row>
    <row r="71" ht="15.75" customHeight="1" s="377">
      <c r="A71" s="257" t="n"/>
      <c r="B71" s="339" t="inlineStr">
        <is>
          <t>Valor asumido traído a hoy (por acción)</t>
        </is>
      </c>
      <c r="C71" s="341">
        <f>C68/(1+C48)^C49</f>
        <v/>
      </c>
      <c r="D71" s="333" t="inlineStr">
        <is>
          <t>Cuánto sobra (+) o falta (−) hoy por acción</t>
        </is>
      </c>
      <c r="E71" s="305" t="n"/>
      <c r="F71" s="305" t="n"/>
      <c r="G71" s="305" t="n"/>
      <c r="H71" s="305" t="n"/>
      <c r="I71" s="305" t="n"/>
      <c r="J71" s="305" t="n"/>
      <c r="K71" s="305" t="n"/>
      <c r="L71" s="305" t="n"/>
    </row>
    <row r="72" ht="15.75" customHeight="1" s="377">
      <c r="A72" s="257" t="n"/>
      <c r="B72" s="342" t="inlineStr">
        <is>
          <t>Holgura: el riesgo podría ser mayor en</t>
        </is>
      </c>
      <c r="C72" s="469">
        <f>IFERROR(C69-1,0)</f>
        <v/>
      </c>
      <c r="D72" s="333" t="inlineStr">
        <is>
          <t>Si la oportunidad no cambia, cuánto puede crecer el riesgo hasta cobertura 1</t>
        </is>
      </c>
      <c r="E72" s="305" t="n"/>
      <c r="F72" s="305" t="n"/>
      <c r="G72" s="305" t="n"/>
      <c r="H72" s="305" t="n"/>
      <c r="I72" s="305" t="n"/>
      <c r="J72" s="305" t="n"/>
      <c r="K72" s="305" t="n"/>
      <c r="L72" s="305" t="n"/>
    </row>
    <row r="73" ht="15.75" customHeight="1" s="377">
      <c r="A73" s="257" t="n"/>
      <c r="B73" s="480" t="inlineStr">
        <is>
          <t>Holgura: la oportunidad podría caer</t>
        </is>
      </c>
      <c r="C73" s="481">
        <f>IFERROR(1-1/C69,0)</f>
        <v/>
      </c>
      <c r="D73" s="345" t="inlineStr">
        <is>
          <t>Si el riesgo no cambia, cuánto puede caer la oportunidad hasta cobertura 1</t>
        </is>
      </c>
      <c r="E73" s="305" t="n"/>
      <c r="F73" s="305" t="n"/>
      <c r="G73" s="305" t="n"/>
      <c r="H73" s="305" t="n"/>
      <c r="I73" s="305" t="n"/>
      <c r="J73" s="305" t="n"/>
      <c r="K73" s="305" t="n"/>
      <c r="L73" s="305" t="n"/>
    </row>
    <row r="74" ht="15.75" customHeight="1" s="377">
      <c r="A74" s="257" t="n"/>
      <c r="B74" s="345" t="inlineStr">
        <is>
          <t>Comprobación frente a la hoja Escenarios</t>
        </is>
      </c>
      <c r="C74" s="346">
        <f>C68-Escenarios!B120</f>
        <v/>
      </c>
      <c r="D74" s="345" t="inlineStr">
        <is>
          <t>Debe ser 0</t>
        </is>
      </c>
      <c r="E74" s="305" t="n"/>
      <c r="F74" s="305" t="n"/>
      <c r="G74" s="305" t="n"/>
      <c r="H74" s="305" t="n"/>
      <c r="I74" s="305" t="n"/>
      <c r="J74" s="305" t="n"/>
      <c r="K74" s="305" t="n"/>
      <c r="L74" s="305" t="n"/>
    </row>
    <row r="75" ht="15.75" customHeight="1" s="377">
      <c r="A75" s="259" t="n"/>
      <c r="B75" s="482" t="n"/>
      <c r="C75" s="305" t="n"/>
      <c r="D75" s="305" t="n"/>
      <c r="E75" s="305" t="n"/>
      <c r="F75" s="305" t="n"/>
      <c r="G75" s="305" t="n"/>
      <c r="H75" s="305" t="n"/>
      <c r="I75" s="305" t="n"/>
      <c r="J75" s="305" t="n"/>
      <c r="K75" s="305" t="n"/>
      <c r="L75" s="305" t="n"/>
    </row>
    <row r="76" ht="15.75" customHeight="1" s="377">
      <c r="A76" s="259" t="n"/>
      <c r="B76" s="483" t="inlineStr">
        <is>
          <t>4. Ventana de horizontes (escenario base)</t>
        </is>
      </c>
      <c r="C76" s="316" t="n"/>
      <c r="D76" s="316" t="n"/>
      <c r="E76" s="316" t="n"/>
      <c r="F76" s="316" t="n"/>
      <c r="G76" s="316" t="n"/>
      <c r="H76" s="316" t="n"/>
      <c r="I76" s="316" t="n"/>
      <c r="J76" s="316" t="n"/>
      <c r="K76" s="316" t="n"/>
      <c r="L76" s="316" t="n"/>
    </row>
    <row r="77" ht="15.75" customHeight="1" s="377">
      <c r="A77" s="259" t="n"/>
      <c r="B77" s="484" t="inlineStr">
        <is>
          <t>Año (n)</t>
        </is>
      </c>
      <c r="C77" s="351">
        <f>Escenarios!D135</f>
        <v/>
      </c>
      <c r="D77" s="351">
        <f>Escenarios!E135</f>
        <v/>
      </c>
      <c r="E77" s="351">
        <f>Escenarios!F135</f>
        <v/>
      </c>
      <c r="F77" s="351">
        <f>Escenarios!G135</f>
        <v/>
      </c>
      <c r="G77" s="351">
        <f>Escenarios!H135</f>
        <v/>
      </c>
      <c r="H77" s="351">
        <f>Escenarios!I135</f>
        <v/>
      </c>
      <c r="I77" s="351">
        <f>Escenarios!J135</f>
        <v/>
      </c>
      <c r="J77" s="351">
        <f>Escenarios!K135</f>
        <v/>
      </c>
      <c r="K77" s="351">
        <f>Escenarios!L135</f>
        <v/>
      </c>
      <c r="L77" s="351">
        <f>Escenarios!M135</f>
        <v/>
      </c>
    </row>
    <row r="78" ht="15.75" customHeight="1" s="377">
      <c r="A78" s="257" t="n"/>
      <c r="B78" s="484" t="inlineStr">
        <is>
          <t>BPA del escenario base</t>
        </is>
      </c>
      <c r="C78" s="352">
        <f>Escenarios!D136</f>
        <v/>
      </c>
      <c r="D78" s="352">
        <f>Escenarios!E136</f>
        <v/>
      </c>
      <c r="E78" s="352">
        <f>Escenarios!F136</f>
        <v/>
      </c>
      <c r="F78" s="352">
        <f>Escenarios!G136</f>
        <v/>
      </c>
      <c r="G78" s="352">
        <f>Escenarios!H136</f>
        <v/>
      </c>
      <c r="H78" s="352">
        <f>Escenarios!I136</f>
        <v/>
      </c>
      <c r="I78" s="352">
        <f>Escenarios!J136</f>
        <v/>
      </c>
      <c r="J78" s="352">
        <f>Escenarios!K136</f>
        <v/>
      </c>
      <c r="K78" s="352">
        <f>Escenarios!L136</f>
        <v/>
      </c>
      <c r="L78" s="352">
        <f>Escenarios!M136</f>
        <v/>
      </c>
    </row>
    <row r="79" ht="15.75" customHeight="1" s="377">
      <c r="B79" s="345" t="inlineStr">
        <is>
          <t>Umbral P × (1 + r)^n</t>
        </is>
      </c>
      <c r="C79" s="352">
        <f>Escenarios!D137</f>
        <v/>
      </c>
      <c r="D79" s="352">
        <f>Escenarios!E137</f>
        <v/>
      </c>
      <c r="E79" s="352">
        <f>Escenarios!F137</f>
        <v/>
      </c>
      <c r="F79" s="352">
        <f>Escenarios!G137</f>
        <v/>
      </c>
      <c r="G79" s="352">
        <f>Escenarios!H137</f>
        <v/>
      </c>
      <c r="H79" s="352">
        <f>Escenarios!I137</f>
        <v/>
      </c>
      <c r="I79" s="352">
        <f>Escenarios!J137</f>
        <v/>
      </c>
      <c r="J79" s="352">
        <f>Escenarios!K137</f>
        <v/>
      </c>
      <c r="K79" s="352">
        <f>Escenarios!L137</f>
        <v/>
      </c>
      <c r="L79" s="352">
        <f>Escenarios!M137</f>
        <v/>
      </c>
    </row>
    <row r="80" ht="15.75" customHeight="1" s="377">
      <c r="B80" s="485" t="inlineStr">
        <is>
          <t>Múltiplo de salida requerido</t>
        </is>
      </c>
      <c r="C80" s="465">
        <f>Escenarios!D140</f>
        <v/>
      </c>
      <c r="D80" s="465">
        <f>Escenarios!E140</f>
        <v/>
      </c>
      <c r="E80" s="465">
        <f>Escenarios!F140</f>
        <v/>
      </c>
      <c r="F80" s="465">
        <f>Escenarios!G140</f>
        <v/>
      </c>
      <c r="G80" s="465">
        <f>Escenarios!H140</f>
        <v/>
      </c>
      <c r="H80" s="465">
        <f>Escenarios!I140</f>
        <v/>
      </c>
      <c r="I80" s="465">
        <f>Escenarios!J140</f>
        <v/>
      </c>
      <c r="J80" s="465">
        <f>Escenarios!K140</f>
        <v/>
      </c>
      <c r="K80" s="465">
        <f>Escenarios!L140</f>
        <v/>
      </c>
      <c r="L80" s="465">
        <f>Escenarios!M140</f>
        <v/>
      </c>
    </row>
    <row r="81" ht="15.75" customHeight="1" s="377">
      <c r="A81" s="106" t="n"/>
      <c r="B81" s="474" t="inlineStr">
        <is>
          <t>Múltiplo de referencia (PER salida base)</t>
        </is>
      </c>
      <c r="C81" s="486">
        <f>Escenarios!D141</f>
        <v/>
      </c>
      <c r="D81" s="465">
        <f>Escenarios!E141</f>
        <v/>
      </c>
      <c r="E81" s="465">
        <f>Escenarios!F141</f>
        <v/>
      </c>
      <c r="F81" s="465">
        <f>Escenarios!G141</f>
        <v/>
      </c>
      <c r="G81" s="465">
        <f>Escenarios!H141</f>
        <v/>
      </c>
      <c r="H81" s="465">
        <f>Escenarios!I141</f>
        <v/>
      </c>
      <c r="I81" s="465">
        <f>Escenarios!J141</f>
        <v/>
      </c>
      <c r="J81" s="465">
        <f>Escenarios!K141</f>
        <v/>
      </c>
      <c r="K81" s="465">
        <f>Escenarios!L141</f>
        <v/>
      </c>
      <c r="L81" s="465">
        <f>Escenarios!M141</f>
        <v/>
      </c>
    </row>
    <row r="82" ht="15.75" customHeight="1" s="377">
      <c r="B82" s="333" t="inlineStr">
        <is>
          <t>¿Dentro de la ventana?</t>
        </is>
      </c>
      <c r="C82" s="355">
        <f>Escenarios!D142</f>
        <v/>
      </c>
      <c r="D82" s="355">
        <f>Escenarios!E142</f>
        <v/>
      </c>
      <c r="E82" s="355">
        <f>Escenarios!F142</f>
        <v/>
      </c>
      <c r="F82" s="355">
        <f>Escenarios!G142</f>
        <v/>
      </c>
      <c r="G82" s="355">
        <f>Escenarios!H142</f>
        <v/>
      </c>
      <c r="H82" s="355">
        <f>Escenarios!I142</f>
        <v/>
      </c>
      <c r="I82" s="355">
        <f>Escenarios!J142</f>
        <v/>
      </c>
      <c r="J82" s="355">
        <f>Escenarios!K142</f>
        <v/>
      </c>
      <c r="K82" s="355">
        <f>Escenarios!L142</f>
        <v/>
      </c>
      <c r="L82" s="355">
        <f>Escenarios!M142</f>
        <v/>
      </c>
    </row>
    <row r="83" ht="15.75" customHeight="1" s="377">
      <c r="B83" s="333" t="inlineStr">
        <is>
          <t>Crecimiento anual del BPA que exige el precio</t>
        </is>
      </c>
      <c r="C83" s="464">
        <f>Escenarios!D143</f>
        <v/>
      </c>
      <c r="D83" s="464">
        <f>Escenarios!E143</f>
        <v/>
      </c>
      <c r="E83" s="464">
        <f>Escenarios!F143</f>
        <v/>
      </c>
      <c r="F83" s="464">
        <f>Escenarios!G143</f>
        <v/>
      </c>
      <c r="G83" s="464">
        <f>Escenarios!H143</f>
        <v/>
      </c>
      <c r="H83" s="464">
        <f>Escenarios!I143</f>
        <v/>
      </c>
      <c r="I83" s="464">
        <f>Escenarios!J143</f>
        <v/>
      </c>
      <c r="J83" s="464">
        <f>Escenarios!K143</f>
        <v/>
      </c>
      <c r="K83" s="464">
        <f>Escenarios!L143</f>
        <v/>
      </c>
      <c r="L83" s="464">
        <f>Escenarios!M143</f>
        <v/>
      </c>
    </row>
    <row r="84" ht="15.75" customHeight="1" s="377">
      <c r="B84" s="335" t="inlineStr">
        <is>
          <t>Crecimiento anual del BPA en el escenario base</t>
        </is>
      </c>
      <c r="C84" s="487">
        <f>Escenarios!D144</f>
        <v/>
      </c>
      <c r="D84" s="487">
        <f>Escenarios!E144</f>
        <v/>
      </c>
      <c r="E84" s="464">
        <f>Escenarios!F144</f>
        <v/>
      </c>
      <c r="F84" s="464">
        <f>Escenarios!G144</f>
        <v/>
      </c>
      <c r="G84" s="464">
        <f>Escenarios!H144</f>
        <v/>
      </c>
      <c r="H84" s="464">
        <f>Escenarios!I144</f>
        <v/>
      </c>
      <c r="I84" s="464">
        <f>Escenarios!J144</f>
        <v/>
      </c>
      <c r="J84" s="464">
        <f>Escenarios!K144</f>
        <v/>
      </c>
      <c r="K84" s="464">
        <f>Escenarios!L144</f>
        <v/>
      </c>
      <c r="L84" s="464">
        <f>Escenarios!M144</f>
        <v/>
      </c>
    </row>
    <row r="85" ht="15.75" customHeight="1" s="377">
      <c r="B85" s="333" t="inlineStr">
        <is>
          <t>Primer año dentro de la ventana</t>
        </is>
      </c>
      <c r="C85" s="334">
        <f>IFERROR(INDEX(C77:L77,MATCH("Sí",C82:L82,0)),"Ninguno")</f>
        <v/>
      </c>
      <c r="D85" s="333" t="inlineStr">
        <is>
          <t>Años en que el múltiplo requerido no supera la referencia</t>
        </is>
      </c>
      <c r="E85" s="305" t="n"/>
      <c r="F85" s="305" t="n"/>
      <c r="G85" s="305" t="n"/>
      <c r="H85" s="305" t="n"/>
      <c r="I85" s="305" t="n"/>
      <c r="J85" s="305" t="n"/>
      <c r="K85" s="305" t="n"/>
      <c r="L85" s="305" t="n"/>
    </row>
    <row r="86" ht="15.75" customHeight="1" s="377">
      <c r="B86" s="333" t="inlineStr">
        <is>
          <t>Años dentro de la ventana (de 10)</t>
        </is>
      </c>
      <c r="C86" s="334">
        <f>COUNTIF(C82:L82,"Sí")</f>
        <v/>
      </c>
      <c r="D86" s="333" t="n"/>
      <c r="E86" s="305" t="n"/>
      <c r="F86" s="305" t="n"/>
      <c r="G86" s="305" t="n"/>
      <c r="H86" s="305" t="n"/>
      <c r="I86" s="305" t="n"/>
      <c r="J86" s="305" t="n"/>
      <c r="K86" s="305" t="n"/>
      <c r="L86" s="305" t="n"/>
    </row>
    <row r="87" ht="15.75" customHeight="1" s="377">
      <c r="B87" s="305" t="n"/>
      <c r="C87" s="305" t="n"/>
      <c r="D87" s="311" t="n"/>
      <c r="E87" s="305" t="n"/>
      <c r="F87" s="305" t="n"/>
      <c r="G87" s="305" t="n"/>
      <c r="H87" s="305" t="n"/>
      <c r="I87" s="305" t="n"/>
      <c r="J87" s="305" t="n"/>
      <c r="K87" s="305" t="n"/>
      <c r="L87" s="305" t="n"/>
    </row>
    <row r="88" ht="15.75" customHeight="1" s="377">
      <c r="B88" s="320" t="inlineStr">
        <is>
          <t>5. Valor estimado y margen de seguridad</t>
        </is>
      </c>
      <c r="C88" s="316" t="n"/>
      <c r="D88" s="320" t="n"/>
      <c r="E88" s="316" t="n"/>
      <c r="F88" s="316" t="n"/>
      <c r="G88" s="316" t="n"/>
      <c r="H88" s="316" t="n"/>
      <c r="I88" s="316" t="n"/>
      <c r="J88" s="316" t="n"/>
      <c r="K88" s="316" t="n"/>
      <c r="L88" s="316" t="n"/>
    </row>
    <row r="89" ht="15.75" customHeight="1" s="377">
      <c r="B89" s="333" t="inlineStr">
        <is>
          <t>Valor estimado hoy = E[VF] / (1 + r)^n</t>
        </is>
      </c>
      <c r="C89" s="357">
        <f>C63/(1+C48)^C49</f>
        <v/>
      </c>
      <c r="D89" s="333" t="inlineStr">
        <is>
          <t>Precio de equilibrio: a este precio la cobertura vale 1</t>
        </is>
      </c>
      <c r="E89" s="305" t="n"/>
      <c r="F89" s="305" t="n"/>
      <c r="G89" s="305" t="n"/>
      <c r="H89" s="305" t="n"/>
      <c r="I89" s="305" t="n"/>
      <c r="J89" s="305" t="n"/>
      <c r="K89" s="305" t="n"/>
      <c r="L89" s="305" t="n"/>
    </row>
    <row r="90" ht="15.75" customHeight="1" s="377">
      <c r="B90" s="333" t="inlineStr">
        <is>
          <t>Margen de seguridad al precio actual</t>
        </is>
      </c>
      <c r="C90" s="488">
        <f>(C89-C47)/C89</f>
        <v/>
      </c>
      <c r="D90" s="333" t="inlineStr">
        <is>
          <t>Cuánto puede equivocarse la estimación agregada antes de alcanzar el precio</t>
        </is>
      </c>
      <c r="E90" s="305" t="n"/>
      <c r="F90" s="305" t="n"/>
      <c r="G90" s="305" t="n"/>
      <c r="H90" s="305" t="n"/>
      <c r="I90" s="305" t="n"/>
      <c r="J90" s="305" t="n"/>
      <c r="K90" s="305" t="n"/>
      <c r="L90" s="305" t="n"/>
    </row>
    <row r="91" ht="15.75" customHeight="1" s="377">
      <c r="B91" s="333" t="inlineStr">
        <is>
          <t>Rentabilidad anual implícita en la media</t>
        </is>
      </c>
      <c r="C91" s="468">
        <f>(C63/C47)^(1/C49)-1</f>
        <v/>
      </c>
      <c r="D91" s="333" t="inlineStr">
        <is>
          <t>Comparar con r</t>
        </is>
      </c>
      <c r="E91" s="305" t="n"/>
      <c r="F91" s="305" t="n"/>
      <c r="G91" s="305" t="n"/>
      <c r="H91" s="305" t="n"/>
      <c r="I91" s="305" t="n"/>
      <c r="J91" s="305" t="n"/>
      <c r="K91" s="305" t="n"/>
      <c r="L91" s="305" t="n"/>
    </row>
    <row r="92" ht="15.75" customHeight="1" s="377">
      <c r="B92" s="333" t="inlineStr">
        <is>
          <t>Precio máximo de compra con tu margen</t>
        </is>
      </c>
      <c r="C92" s="357">
        <f>C89*(1-C51)</f>
        <v/>
      </c>
      <c r="D92" s="333" t="inlineStr">
        <is>
          <t>Valor estimado × (1 − margen exigido)</t>
        </is>
      </c>
      <c r="E92" s="305" t="n"/>
      <c r="F92" s="305" t="n"/>
      <c r="G92" s="305" t="n"/>
      <c r="H92" s="305" t="n"/>
      <c r="I92" s="305" t="n"/>
      <c r="J92" s="305" t="n"/>
      <c r="K92" s="305" t="n"/>
      <c r="L92" s="305" t="n"/>
    </row>
    <row r="93" ht="15.75" customHeight="1" s="377">
      <c r="B93" s="333" t="inlineStr">
        <is>
          <t>Precio actual frente al precio máximo</t>
        </is>
      </c>
      <c r="C93" s="468">
        <f>C47/C92-1</f>
        <v/>
      </c>
      <c r="D93" s="333" t="inlineStr">
        <is>
          <t>Negativo: el precio actual está por debajo de tu precio máximo</t>
        </is>
      </c>
      <c r="E93" s="305" t="n"/>
      <c r="F93" s="305" t="n"/>
      <c r="G93" s="305" t="n"/>
      <c r="H93" s="305" t="n"/>
      <c r="I93" s="305" t="n"/>
      <c r="J93" s="305" t="n"/>
      <c r="K93" s="305" t="n"/>
      <c r="L93" s="305" t="n"/>
    </row>
    <row r="94" ht="15.75" customHeight="1" s="377">
      <c r="B94" s="305" t="n"/>
      <c r="C94" s="305" t="n"/>
      <c r="D94" s="305" t="n"/>
      <c r="E94" s="305" t="n"/>
      <c r="F94" s="305" t="n"/>
      <c r="G94" s="305" t="n"/>
      <c r="H94" s="305" t="n"/>
      <c r="I94" s="305" t="n"/>
      <c r="J94" s="305" t="n"/>
      <c r="K94" s="305" t="n"/>
      <c r="L94" s="305" t="n"/>
    </row>
    <row r="95" ht="45" customHeight="1" s="377">
      <c r="B95" s="322" t="inlineStr">
        <is>
          <t>Precio de compra</t>
        </is>
      </c>
      <c r="C95" s="322" t="inlineStr">
        <is>
          <t>Margen frente al valor estimado</t>
        </is>
      </c>
      <c r="D95" s="322" t="inlineStr">
        <is>
          <t>Umbral a n años</t>
        </is>
      </c>
      <c r="E95" s="322" t="inlineStr">
        <is>
          <t>Riesgo asumido</t>
        </is>
      </c>
      <c r="F95" s="322" t="inlineStr">
        <is>
          <t>Oportunidad asumida</t>
        </is>
      </c>
      <c r="G95" s="322" t="inlineStr">
        <is>
          <t>Cobertura</t>
        </is>
      </c>
      <c r="H95" s="322" t="inlineStr">
        <is>
          <t>Veredicto</t>
        </is>
      </c>
      <c r="I95" s="322" t="n"/>
      <c r="J95" s="305" t="n"/>
      <c r="K95" s="305" t="n"/>
      <c r="L95" s="305" t="n"/>
    </row>
    <row r="96" ht="15.75" customHeight="1" s="377">
      <c r="B96" s="359">
        <f>C47</f>
        <v/>
      </c>
      <c r="C96" s="489">
        <f>($C$89-B96)/$C$89</f>
        <v/>
      </c>
      <c r="D96" s="359">
        <f>B96*(1+$C$48)^$C$49</f>
        <v/>
      </c>
      <c r="E96" s="359">
        <f t="array" ref="E96">SUMPRODUCT($D$55:$D$58,($C$55:$C$58&lt;D96)*(D96-$C$55:$C$58))</f>
        <v/>
      </c>
      <c r="F96" s="359">
        <f t="array" ref="F96">SUMPRODUCT($D$55:$D$58,($C$55:$C$58&gt;D96)*($C$55:$C$58-D96))</f>
        <v/>
      </c>
      <c r="G96" s="490">
        <f>IFERROR(F96/E96,"Sin cola izquierda")</f>
        <v/>
      </c>
      <c r="H96" s="362">
        <f>IF(ROUND(F96-E96,6)&gt;0,"Compensa",IF(ROUND(F96-E96,6)=0,"Equilibrio","No compensa"))</f>
        <v/>
      </c>
      <c r="I96" s="334" t="inlineStr">
        <is>
          <t>Actual</t>
        </is>
      </c>
      <c r="J96" s="305" t="n"/>
      <c r="K96" s="305" t="n"/>
      <c r="L96" s="305" t="n"/>
    </row>
    <row r="97" ht="15.75" customHeight="1" s="377">
      <c r="B97" s="348">
        <f>C92</f>
        <v/>
      </c>
      <c r="C97" s="468">
        <f>($C$89-B97)/$C$89</f>
        <v/>
      </c>
      <c r="D97" s="348">
        <f>B97*(1+$C$48)^$C$49</f>
        <v/>
      </c>
      <c r="E97" s="348">
        <f t="array" ref="E97">SUMPRODUCT($D$55:$D$58,($C$55:$C$58&lt;D97)*(D97-$C$55:$C$58))</f>
        <v/>
      </c>
      <c r="F97" s="348">
        <f t="array" ref="F97">SUMPRODUCT($D$55:$D$58,($C$55:$C$58&gt;D97)*($C$55:$C$58-D97))</f>
        <v/>
      </c>
      <c r="G97" s="491">
        <f>IFERROR(F97/E97,"Sin cola izquierda")</f>
        <v/>
      </c>
      <c r="H97" s="334">
        <f>IF(ROUND(F97-E97,6)&gt;0,"Compensa",IF(ROUND(F97-E97,6)=0,"Equilibrio","No compensa"))</f>
        <v/>
      </c>
      <c r="I97" s="334" t="inlineStr">
        <is>
          <t>Precio máx.</t>
        </is>
      </c>
      <c r="J97" s="305" t="n"/>
      <c r="K97" s="305" t="n"/>
      <c r="L97" s="305" t="n"/>
    </row>
    <row r="98" ht="15.75" customHeight="1" s="377">
      <c r="B98" s="348">
        <f>C89</f>
        <v/>
      </c>
      <c r="C98" s="468">
        <f>($C$89-B98)/$C$89</f>
        <v/>
      </c>
      <c r="D98" s="348">
        <f>B98*(1+$C$48)^$C$49</f>
        <v/>
      </c>
      <c r="E98" s="348">
        <f t="array" ref="E98">SUMPRODUCT($D$55:$D$58,($C$55:$C$58&lt;D98)*(D98-$C$55:$C$58))</f>
        <v/>
      </c>
      <c r="F98" s="348">
        <f t="array" ref="F98">SUMPRODUCT($D$55:$D$58,($C$55:$C$58&gt;D98)*($C$55:$C$58-D98))</f>
        <v/>
      </c>
      <c r="G98" s="491">
        <f>IFERROR(F98/E98,"Sin cola izquierda")</f>
        <v/>
      </c>
      <c r="H98" s="334">
        <f>IF(ROUND(F98-E98,6)&gt;0,"Compensa",IF(ROUND(F98-E98,6)=0,"Equilibrio","No compensa"))</f>
        <v/>
      </c>
      <c r="I98" s="334" t="inlineStr">
        <is>
          <t>Equilibrio</t>
        </is>
      </c>
      <c r="J98" s="305" t="n"/>
      <c r="K98" s="305" t="n"/>
      <c r="L98" s="305" t="n"/>
    </row>
    <row r="99" ht="15.75" customHeight="1" s="377">
      <c r="B99" s="364" t="n">
        <v>200</v>
      </c>
      <c r="C99" s="468">
        <f>($C$89-B99)/$C$89</f>
        <v/>
      </c>
      <c r="D99" s="348">
        <f>B99*(1+$C$48)^$C$49</f>
        <v/>
      </c>
      <c r="E99" s="348">
        <f t="array" ref="E99">SUMPRODUCT($D$55:$D$58,($C$55:$C$58&lt;D99)*(D99-$C$55:$C$58))</f>
        <v/>
      </c>
      <c r="F99" s="348">
        <f t="array" ref="F99">SUMPRODUCT($D$55:$D$58,($C$55:$C$58&gt;D99)*($C$55:$C$58-D99))</f>
        <v/>
      </c>
      <c r="G99" s="491">
        <f>IFERROR(F99/E99,"Sin cola izquierda")</f>
        <v/>
      </c>
      <c r="H99" s="334">
        <f>IF(ROUND(F99-E99,6)&gt;0,"Compensa",IF(ROUND(F99-E99,6)=0,"Equilibrio","No compensa"))</f>
        <v/>
      </c>
      <c r="I99" s="334" t="inlineStr">
        <is>
          <t>Prueba</t>
        </is>
      </c>
      <c r="J99" s="305" t="n"/>
      <c r="K99" s="305" t="n"/>
      <c r="L99" s="305" t="n"/>
    </row>
    <row r="100" ht="15.75" customHeight="1" s="377">
      <c r="B100" s="364" t="n">
        <v>300</v>
      </c>
      <c r="C100" s="468">
        <f>($C$89-B100)/$C$89</f>
        <v/>
      </c>
      <c r="D100" s="348">
        <f>B100*(1+$C$48)^$C$49</f>
        <v/>
      </c>
      <c r="E100" s="348">
        <f t="array" ref="E100">SUMPRODUCT($D$55:$D$58,($C$55:$C$58&lt;D100)*(D100-$C$55:$C$58))</f>
        <v/>
      </c>
      <c r="F100" s="348">
        <f t="array" ref="F100">SUMPRODUCT($D$55:$D$58,($C$55:$C$58&gt;D100)*($C$55:$C$58-D100))</f>
        <v/>
      </c>
      <c r="G100" s="491">
        <f>IFERROR(F100/E100,"Sin cola izquierda")</f>
        <v/>
      </c>
      <c r="H100" s="334">
        <f>IF(ROUND(F100-E100,6)&gt;0,"Compensa",IF(ROUND(F100-E100,6)=0,"Equilibrio","No compensa"))</f>
        <v/>
      </c>
      <c r="I100" s="334" t="inlineStr">
        <is>
          <t>Prueba</t>
        </is>
      </c>
      <c r="J100" s="305" t="n"/>
      <c r="K100" s="305" t="n"/>
      <c r="L100" s="305" t="n"/>
    </row>
    <row r="101" ht="15.75" customHeight="1" s="377">
      <c r="B101" s="364" t="n">
        <v>450</v>
      </c>
      <c r="C101" s="468">
        <f>($C$89-B101)/$C$89</f>
        <v/>
      </c>
      <c r="D101" s="348">
        <f>B101*(1+$C$48)^$C$49</f>
        <v/>
      </c>
      <c r="E101" s="348">
        <f t="array" ref="E101">SUMPRODUCT($D$55:$D$58,($C$55:$C$58&lt;D101)*(D101-$C$55:$C$58))</f>
        <v/>
      </c>
      <c r="F101" s="348">
        <f t="array" ref="F101">SUMPRODUCT($D$55:$D$58,($C$55:$C$58&gt;D101)*($C$55:$C$58-D101))</f>
        <v/>
      </c>
      <c r="G101" s="491">
        <f>IFERROR(F101/E101,"Sin cola izquierda")</f>
        <v/>
      </c>
      <c r="H101" s="334">
        <f>IF(ROUND(F101-E101,6)&gt;0,"Compensa",IF(ROUND(F101-E101,6)=0,"Equilibrio","No compensa"))</f>
        <v/>
      </c>
      <c r="I101" s="334" t="inlineStr">
        <is>
          <t>Prueba</t>
        </is>
      </c>
      <c r="J101" s="305" t="n"/>
      <c r="K101" s="305" t="n"/>
      <c r="L101" s="305" t="n"/>
    </row>
    <row r="102" ht="15.75" customHeight="1" s="377">
      <c r="B102" s="305" t="n"/>
      <c r="C102" s="305" t="n"/>
      <c r="D102" s="305" t="n"/>
      <c r="E102" s="305" t="n"/>
      <c r="F102" s="305" t="n"/>
      <c r="G102" s="305" t="n"/>
      <c r="H102" s="305" t="n"/>
      <c r="I102" s="305" t="n"/>
      <c r="J102" s="305" t="n"/>
      <c r="K102" s="305" t="n"/>
      <c r="L102" s="305" t="n"/>
    </row>
    <row r="103" ht="15.75" customHeight="1" s="377">
      <c r="B103" s="320" t="inlineStr">
        <is>
          <t>6. Test de exposición: qué significa cada escenario para tu patrimonio</t>
        </is>
      </c>
      <c r="C103" s="316" t="n"/>
      <c r="D103" s="316" t="n"/>
      <c r="E103" s="316" t="n"/>
      <c r="F103" s="316" t="n"/>
      <c r="G103" s="316" t="n"/>
      <c r="H103" s="316" t="n"/>
      <c r="I103" s="316" t="n"/>
      <c r="J103" s="316" t="n"/>
      <c r="K103" s="316" t="n"/>
      <c r="L103" s="316" t="n"/>
    </row>
    <row r="104" ht="15.75" customHeight="1" s="377">
      <c r="B104" s="333" t="inlineStr">
        <is>
          <t>Caída intermedia de la cotización (trayectoria)</t>
        </is>
      </c>
      <c r="C104" s="365" t="n">
        <v>-0.45</v>
      </c>
      <c r="D104" s="333" t="inlineStr">
        <is>
          <t>Ej.: el precio cae temporalmente un 45 % en el año 3 y luego se recupera hacia el escenario base</t>
        </is>
      </c>
      <c r="E104" s="305" t="n"/>
      <c r="F104" s="305" t="n"/>
      <c r="G104" s="305" t="n"/>
      <c r="H104" s="305" t="n"/>
      <c r="I104" s="305" t="n"/>
      <c r="J104" s="305" t="n"/>
      <c r="K104" s="305" t="n"/>
      <c r="L104" s="305" t="n"/>
    </row>
    <row r="105" ht="15.75" customHeight="1" s="377">
      <c r="B105" s="333" t="inlineStr">
        <is>
          <t>Garantía mínima exigida por el prestamista</t>
        </is>
      </c>
      <c r="C105" s="365" t="n">
        <v>0.3</v>
      </c>
      <c r="D105" s="333" t="inlineStr">
        <is>
          <t>Capital propio / valor de la posición por debajo del cual puede reclamar garantías</t>
        </is>
      </c>
      <c r="E105" s="305" t="n"/>
      <c r="F105" s="305" t="n"/>
      <c r="G105" s="305" t="n"/>
      <c r="H105" s="305" t="n"/>
      <c r="I105" s="305" t="n"/>
      <c r="J105" s="305" t="n"/>
      <c r="K105" s="305" t="n"/>
      <c r="L105" s="305" t="n"/>
    </row>
    <row r="106" ht="15.75" customHeight="1" s="377">
      <c r="B106" s="311" t="n"/>
      <c r="C106" s="305" t="n"/>
      <c r="D106" s="305" t="n"/>
      <c r="E106" s="305" t="n"/>
      <c r="F106" s="305" t="n"/>
      <c r="G106" s="305" t="n"/>
      <c r="H106" s="305" t="n"/>
      <c r="I106" s="305" t="n"/>
      <c r="J106" s="305" t="n"/>
      <c r="K106" s="305" t="n"/>
      <c r="L106" s="305" t="n"/>
    </row>
    <row r="107" ht="45" customHeight="1" s="377">
      <c r="B107" s="347" t="inlineStr">
        <is>
          <t>Inversor</t>
        </is>
      </c>
      <c r="C107" s="322" t="inlineStr">
        <is>
          <t>Peso en el patrimonio (capital propio invertido)</t>
        </is>
      </c>
      <c r="D107" s="322" t="inlineStr">
        <is>
          <t>Deuda / capital propio</t>
        </is>
      </c>
      <c r="E107" s="322" t="inlineStr">
        <is>
          <t>Optimista</t>
        </is>
      </c>
      <c r="F107" s="322" t="inlineStr">
        <is>
          <t>Base</t>
        </is>
      </c>
      <c r="G107" s="322" t="inlineStr">
        <is>
          <t>Adverso</t>
        </is>
      </c>
      <c r="H107" s="322" t="inlineStr">
        <is>
          <t>Desastre</t>
        </is>
      </c>
      <c r="I107" s="322" t="inlineStr">
        <is>
          <t>Pérdida temporal en la caída intermedia</t>
        </is>
      </c>
      <c r="J107" s="322" t="inlineStr">
        <is>
          <t>Capital propio / posición tras la caída</t>
        </is>
      </c>
      <c r="K107" s="322" t="inlineStr">
        <is>
          <t>Riesgo de supervivencia</t>
        </is>
      </c>
      <c r="L107" s="322" t="inlineStr">
        <is>
          <t>Lectura</t>
        </is>
      </c>
    </row>
    <row r="108" ht="15.75" customHeight="1" s="377">
      <c r="B108" s="333" t="inlineStr">
        <is>
          <t>A · posición pequeña sin deuda</t>
        </is>
      </c>
      <c r="C108" s="365" t="n">
        <v>0.1</v>
      </c>
      <c r="D108" s="492" t="n">
        <v>0</v>
      </c>
      <c r="E108" s="468">
        <f>$C108*(1+$D108)*($C$55/$C$47-1)</f>
        <v/>
      </c>
      <c r="F108" s="468">
        <f>$C108*(1+$D108)*($C$56/$C$47-1)</f>
        <v/>
      </c>
      <c r="G108" s="468">
        <f>$C108*(1+$D108)*($C$57/$C$47-1)</f>
        <v/>
      </c>
      <c r="H108" s="468">
        <f>$C108*(1+$D108)*($C$58/$C$47-1)</f>
        <v/>
      </c>
      <c r="I108" s="468">
        <f>$C108*(1+$D108)*$C$104</f>
        <v/>
      </c>
      <c r="J108" s="468">
        <f>((1+D108)*(1+$C$104)-D108)/((1+D108)*(1+$C$104))</f>
        <v/>
      </c>
      <c r="K108" s="334">
        <f>IF(D108=0,"Bajo",IF(J108&lt;=0,"Muy alto",IF(J108&lt;$C$105,"Alto","Moderado")))</f>
        <v/>
      </c>
      <c r="L108" s="333" t="inlineStr">
        <is>
          <t>Riesgo patrimonial limitado</t>
        </is>
      </c>
    </row>
    <row r="109" ht="15.75" customHeight="1" s="377">
      <c r="B109" s="333" t="inlineStr">
        <is>
          <t>B · posición grande sin deuda</t>
        </is>
      </c>
      <c r="C109" s="365" t="n">
        <v>0.7</v>
      </c>
      <c r="D109" s="492" t="n">
        <v>0</v>
      </c>
      <c r="E109" s="468">
        <f>$C109*(1+$D109)*($C$55/$C$47-1)</f>
        <v/>
      </c>
      <c r="F109" s="468">
        <f>$C109*(1+$D109)*($C$56/$C$47-1)</f>
        <v/>
      </c>
      <c r="G109" s="468">
        <f>$C109*(1+$D109)*($C$57/$C$47-1)</f>
        <v/>
      </c>
      <c r="H109" s="468">
        <f>$C109*(1+$D109)*($C$58/$C$47-1)</f>
        <v/>
      </c>
      <c r="I109" s="468">
        <f>$C109*(1+$D109)*$C$104</f>
        <v/>
      </c>
      <c r="J109" s="468">
        <f>((1+D109)*(1+$C$104)-D109)/((1+D109)*(1+$C$104))</f>
        <v/>
      </c>
      <c r="K109" s="334">
        <f>IF(D109=0,"Bajo",IF(J109&lt;=0,"Muy alto",IF(J109&lt;$C$105,"Alto","Moderado")))</f>
        <v/>
      </c>
      <c r="L109" s="333" t="inlineStr">
        <is>
          <t>Riesgo patrimonial elevado, conserva el control del tiempo</t>
        </is>
      </c>
    </row>
    <row r="110" ht="15.75" customHeight="1" s="377">
      <c r="B110" s="333" t="inlineStr">
        <is>
          <t>C · apalancado (50 % propio + 50 % deuda)</t>
        </is>
      </c>
      <c r="C110" s="365" t="n">
        <v>1</v>
      </c>
      <c r="D110" s="492" t="n">
        <v>1</v>
      </c>
      <c r="E110" s="468">
        <f>$C110*(1+$D110)*($C$55/$C$47-1)</f>
        <v/>
      </c>
      <c r="F110" s="468">
        <f>$C110*(1+$D110)*($C$56/$C$47-1)</f>
        <v/>
      </c>
      <c r="G110" s="468">
        <f>$C110*(1+$D110)*($C$57/$C$47-1)</f>
        <v/>
      </c>
      <c r="H110" s="468">
        <f>$C110*(1+$D110)*($C$58/$C$47-1)</f>
        <v/>
      </c>
      <c r="I110" s="468">
        <f>$C110*(1+$D110)*$C$104</f>
        <v/>
      </c>
      <c r="J110" s="468">
        <f>((1+D110)*(1+$C$104)-D110)/((1+D110)*(1+$C$104))</f>
        <v/>
      </c>
      <c r="K110" s="334">
        <f>IF(D110=0,"Bajo",IF(J110&lt;=0,"Muy alto",IF(J110&lt;$C$105,"Alto","Moderado")))</f>
        <v/>
      </c>
      <c r="L110" s="333" t="inlineStr">
        <is>
          <t>La deuda amplifica el resultado y puede quitar el control del tiempo</t>
        </is>
      </c>
    </row>
    <row r="111" ht="15.75" customHeight="1" s="377">
      <c r="B111" s="333" t="inlineStr">
        <is>
          <t>B ajustado por aversión (reduce al 30 %)</t>
        </is>
      </c>
      <c r="C111" s="365" t="n">
        <v>0.3</v>
      </c>
      <c r="D111" s="492" t="n">
        <v>0</v>
      </c>
      <c r="E111" s="468">
        <f>$C111*(1+$D111)*($C$55/$C$47-1)</f>
        <v/>
      </c>
      <c r="F111" s="468">
        <f>$C111*(1+$D111)*($C$56/$C$47-1)</f>
        <v/>
      </c>
      <c r="G111" s="468">
        <f>$C111*(1+$D111)*($C$57/$C$47-1)</f>
        <v/>
      </c>
      <c r="H111" s="468">
        <f>$C111*(1+$D111)*($C$58/$C$47-1)</f>
        <v/>
      </c>
      <c r="I111" s="468">
        <f>$C111*(1+$D111)*$C$104</f>
        <v/>
      </c>
      <c r="J111" s="468">
        <f>((1+D111)*(1+$C$104)-D111)/((1+D111)*(1+$C$104))</f>
        <v/>
      </c>
      <c r="K111" s="334">
        <f>IF(D111=0,"Bajo",IF(J111&lt;=0,"Muy alto",IF(J111&lt;$C$105,"Alto","Moderado")))</f>
        <v/>
      </c>
      <c r="L111" s="333" t="inlineStr">
        <is>
          <t>Mismo negocio y probabilidades; menos daño en el desastre</t>
        </is>
      </c>
    </row>
    <row r="112" ht="15.75" customHeight="1" s="377">
      <c r="B112" s="333" t="inlineStr">
        <is>
          <t>C ajustado por aversión (sin deuda)</t>
        </is>
      </c>
      <c r="C112" s="365" t="n">
        <v>1</v>
      </c>
      <c r="D112" s="492" t="n">
        <v>0</v>
      </c>
      <c r="E112" s="468">
        <f>$C112*(1+$D112)*($C$55/$C$47-1)</f>
        <v/>
      </c>
      <c r="F112" s="468">
        <f>$C112*(1+$D112)*($C$56/$C$47-1)</f>
        <v/>
      </c>
      <c r="G112" s="468">
        <f>$C112*(1+$D112)*($C$57/$C$47-1)</f>
        <v/>
      </c>
      <c r="H112" s="468">
        <f>$C112*(1+$D112)*($C$58/$C$47-1)</f>
        <v/>
      </c>
      <c r="I112" s="468">
        <f>$C112*(1+$D112)*$C$104</f>
        <v/>
      </c>
      <c r="J112" s="468">
        <f>((1+D112)*(1+$C$104)-D112)/((1+D112)*(1+$C$104))</f>
        <v/>
      </c>
      <c r="K112" s="334">
        <f>IF(D112=0,"Bajo",IF(J112&lt;=0,"Muy alto",IF(J112&lt;$C$105,"Alto","Moderado")))</f>
        <v/>
      </c>
      <c r="L112" s="333" t="inlineStr">
        <is>
          <t>Elimina el mecanismo que podía forzar la venta</t>
        </is>
      </c>
    </row>
    <row r="113" ht="15.75" customHeight="1" s="377">
      <c r="B113" s="380" t="inlineStr">
        <is>
          <t>Efecto sobre el patrimonio = peso × (1 + deuda/capital) × (VF / P − 1). Un −100 % o peor significa perder todo el capital invertido (con deuda se puede perder más).</t>
        </is>
      </c>
      <c r="C113" s="305" t="n"/>
      <c r="D113" s="305" t="n"/>
      <c r="E113" s="305" t="n"/>
      <c r="F113" s="305" t="n"/>
      <c r="G113" s="305" t="n"/>
      <c r="H113" s="305" t="n"/>
      <c r="I113" s="305" t="n"/>
      <c r="J113" s="305" t="n"/>
      <c r="K113" s="305" t="n"/>
      <c r="L113" s="305" t="n"/>
    </row>
    <row r="114" ht="15.75" customHeight="1" s="377">
      <c r="B114" s="380" t="inlineStr">
        <is>
          <t>Supervivencia: Bajo = sin deuda, nadie puede forzar la venta · Alto = el capital propio cae por debajo de la garantía mínima y el prestamista puede exigir más capital · Muy alto = la deuda supera la posición.</t>
        </is>
      </c>
      <c r="C114" s="305" t="n"/>
      <c r="D114" s="305" t="n"/>
      <c r="E114" s="305" t="n"/>
      <c r="F114" s="305" t="n"/>
      <c r="G114" s="305" t="n"/>
      <c r="H114" s="305" t="n"/>
      <c r="I114" s="305" t="n"/>
      <c r="J114" s="305" t="n"/>
      <c r="K114" s="305" t="n"/>
      <c r="L114" s="305" t="n"/>
    </row>
    <row r="115" ht="15.75" customHeight="1" s="377">
      <c r="B115" s="320" t="inlineStr">
        <is>
          <t>7. Preguntas de supervivencia (respóndelas antes de comprar)</t>
        </is>
      </c>
      <c r="C115" s="316" t="n"/>
      <c r="D115" s="316" t="n"/>
      <c r="E115" s="316" t="n"/>
      <c r="F115" s="316" t="n"/>
      <c r="G115" s="316" t="n"/>
      <c r="H115" s="316" t="n"/>
      <c r="I115" s="316" t="n"/>
      <c r="J115" s="316" t="n"/>
      <c r="K115" s="316" t="n"/>
      <c r="L115" s="316" t="n"/>
    </row>
    <row r="116" ht="15.75" customHeight="1" s="377">
      <c r="B116" s="311" t="inlineStr">
        <is>
          <t>· ¿Quién puede obligarme a vender? ¿Qué tendría que ocurrir para que lo hiciera?</t>
        </is>
      </c>
      <c r="C116" s="305" t="n"/>
      <c r="D116" s="305" t="n"/>
      <c r="E116" s="305" t="n"/>
      <c r="F116" s="305" t="n"/>
      <c r="G116" s="305" t="n"/>
      <c r="H116" s="305" t="n"/>
      <c r="I116" s="305" t="n"/>
      <c r="J116" s="305" t="n"/>
      <c r="K116" s="305" t="n"/>
      <c r="L116" s="305" t="n"/>
    </row>
    <row r="117" ht="15.75" customHeight="1" s="377">
      <c r="B117" s="311" t="inlineStr">
        <is>
          <t>· ¿Hay deuda ligada al valor de la posición? ¿Tendría que aportar capital tras una caída?</t>
        </is>
      </c>
      <c r="C117" s="305" t="n"/>
      <c r="D117" s="305" t="n"/>
      <c r="E117" s="305" t="n"/>
      <c r="F117" s="305" t="n"/>
      <c r="G117" s="305" t="n"/>
      <c r="H117" s="305" t="n"/>
      <c r="I117" s="305" t="n"/>
      <c r="J117" s="305" t="n"/>
      <c r="K117" s="305" t="n"/>
      <c r="L117" s="305" t="n"/>
    </row>
    <row r="118" ht="15.75" customHeight="1" s="377">
      <c r="B118" s="311" t="inlineStr">
        <is>
          <t>· ¿Necesitaré este dinero antes del horizonte de la tesis (ver ventana)?</t>
        </is>
      </c>
      <c r="C118" s="305" t="n"/>
      <c r="D118" s="305" t="n"/>
      <c r="E118" s="305" t="n"/>
      <c r="F118" s="305" t="n"/>
      <c r="G118" s="305" t="n"/>
      <c r="H118" s="305" t="n"/>
      <c r="I118" s="305" t="n"/>
      <c r="J118" s="305" t="n"/>
      <c r="K118" s="305" t="n"/>
      <c r="L118" s="305" t="n"/>
    </row>
    <row r="119" ht="15.75" customHeight="1" s="377">
      <c r="B119" s="311" t="inlineStr">
        <is>
          <t>· ¿Pueden fallar mis otras fuentes de ingresos o liquidez en el mismo escenario (empleo, sector, cartera)?</t>
        </is>
      </c>
      <c r="C119" s="305" t="n"/>
      <c r="D119" s="305" t="n"/>
      <c r="E119" s="305" t="n"/>
      <c r="F119" s="305" t="n"/>
      <c r="G119" s="305" t="n"/>
      <c r="H119" s="305" t="n"/>
      <c r="I119" s="305" t="n"/>
      <c r="J119" s="305" t="n"/>
      <c r="K119" s="305" t="n"/>
      <c r="L119" s="305" t="n"/>
    </row>
    <row r="120" ht="15.75" customHeight="1" s="377">
      <c r="B120" s="311" t="inlineStr">
        <is>
          <t>· ¿De cuántas fuentes económicas distintas depende realmente mi patrimonio?</t>
        </is>
      </c>
      <c r="C120" s="305" t="n"/>
      <c r="D120" s="305" t="n"/>
      <c r="E120" s="305" t="n"/>
      <c r="F120" s="305" t="n"/>
      <c r="G120" s="305" t="n"/>
      <c r="H120" s="305" t="n"/>
      <c r="I120" s="305" t="n"/>
      <c r="J120" s="305" t="n"/>
      <c r="K120" s="305" t="n"/>
      <c r="L120" s="305" t="n"/>
    </row>
    <row r="121" ht="15.75" customHeight="1" s="377">
      <c r="B121" s="305" t="n"/>
      <c r="C121" s="305" t="n"/>
      <c r="D121" s="305" t="n"/>
      <c r="E121" s="305" t="n"/>
      <c r="F121" s="305" t="n"/>
      <c r="G121" s="305" t="n"/>
      <c r="H121" s="305" t="n"/>
      <c r="I121" s="305" t="n"/>
      <c r="J121" s="305" t="n"/>
      <c r="K121" s="305" t="n"/>
      <c r="L121" s="305" t="n"/>
    </row>
    <row r="122" ht="15.75" customHeight="1" s="377">
      <c r="B122" s="320" t="inlineStr">
        <is>
          <t>8. Conclusión</t>
        </is>
      </c>
      <c r="C122" s="316" t="n"/>
      <c r="D122" s="316" t="n"/>
      <c r="E122" s="316" t="n"/>
      <c r="F122" s="316" t="n"/>
      <c r="G122" s="316" t="n"/>
      <c r="H122" s="316" t="n"/>
      <c r="I122" s="316" t="n"/>
      <c r="J122" s="316" t="n"/>
      <c r="K122" s="316" t="n"/>
      <c r="L122" s="316" t="n"/>
    </row>
    <row r="123" ht="15.75" customHeight="1" s="377">
      <c r="B123" s="311">
        <f>"A "&amp;FIXED(C47,2)&amp;" USD y exigiendo un "&amp;FIXED(C48*100,1)&amp;" % anual a "&amp;C49&amp;" años, la inversión "&amp;LOWER(C70)&amp;": cobertura "&amp;IFERROR(FIXED(C69,2),C69)&amp;", riesgo de no compensación "&amp;FIXED(C64*100,0)&amp;" % y déficit medio de "&amp;FIXED(C66,0)&amp;" USD cuando se falla."</f>
        <v/>
      </c>
      <c r="C123" s="305" t="n"/>
      <c r="D123" s="305" t="n"/>
      <c r="E123" s="305" t="n"/>
      <c r="F123" s="305" t="n"/>
      <c r="G123" s="305" t="n"/>
      <c r="H123" s="305" t="n"/>
      <c r="I123" s="305" t="n"/>
      <c r="J123" s="305" t="n"/>
      <c r="K123" s="305" t="n"/>
      <c r="L123" s="305" t="n"/>
    </row>
    <row r="124" ht="15.75" customHeight="1" s="377">
      <c r="B124" s="311">
        <f>"Valor estimado "&amp;FIXED(C89,2)&amp;" USD; margen de seguridad al precio actual "&amp;FIXED(C90*100,1)&amp;" % (exigido "&amp;FIXED(C51*100,0)&amp;" %). Precio máximo de compra: "&amp;FIXED(C92,2)&amp;" USD. Rentabilidad anual implícita en la media: "&amp;FIXED(C91*100,1)&amp;" %."</f>
        <v/>
      </c>
      <c r="C124" s="305" t="n"/>
      <c r="D124" s="305" t="n"/>
      <c r="E124" s="305" t="n"/>
      <c r="F124" s="305" t="n"/>
      <c r="G124" s="305" t="n"/>
      <c r="H124" s="305" t="n"/>
      <c r="I124" s="305" t="n"/>
      <c r="J124" s="305" t="n"/>
      <c r="K124" s="305" t="n"/>
      <c r="L124" s="305" t="n"/>
    </row>
    <row r="125" ht="15.75" customHeight="1" s="377">
      <c r="B125" s="311">
        <f>"El "&amp;FIXED(MAX(H55:H58)*100,0)&amp;" % del riesgo asumido procede del escenario "&amp;INDEX(B55:B58,MATCH(MAX(H55:H58),H55:H58,0))&amp;". Con la cola izquierda engordada (probabilidades de prueba) la cobertura sería "&amp;IFERROR(FIXED(K66,2),K66)&amp;"."</f>
        <v/>
      </c>
      <c r="C125" s="305" t="n"/>
      <c r="D125" s="305" t="n"/>
      <c r="E125" s="305" t="n"/>
      <c r="F125" s="305" t="n"/>
      <c r="G125" s="305" t="n"/>
      <c r="H125" s="305" t="n"/>
      <c r="I125" s="305" t="n"/>
      <c r="J125" s="305" t="n"/>
      <c r="K125" s="305" t="n"/>
      <c r="L125" s="305" t="n"/>
    </row>
    <row r="126" ht="15.75" customHeight="1" s="377">
      <c r="B126" s="311" t="inlineStr">
        <is>
          <t>Advertencia: el veredicto depende de la distribución estimada (sobre todo del PER de salida de cada escenario). Si la cobertura es muy alta, revisa primero si la cola izquierda está completa.</t>
        </is>
      </c>
      <c r="C126" s="305" t="n"/>
      <c r="D126" s="305" t="n"/>
      <c r="E126" s="305" t="n"/>
      <c r="F126" s="305" t="n"/>
      <c r="G126" s="305" t="n"/>
      <c r="H126" s="305" t="n"/>
      <c r="I126" s="305" t="n"/>
      <c r="J126" s="305" t="n"/>
      <c r="K126" s="305" t="n"/>
      <c r="L126" s="305" t="n"/>
    </row>
    <row r="127" ht="15.75" customHeight="1" s="377"/>
    <row r="128" ht="15.75" customHeight="1" s="377"/>
    <row r="129" ht="15.75" customHeight="1" s="377"/>
    <row r="130" ht="15.75" customHeight="1" s="377"/>
    <row r="131" ht="15.75" customHeight="1" s="377"/>
    <row r="132" ht="15.75" customHeight="1" s="377"/>
    <row r="133" ht="15.75" customHeight="1" s="377"/>
    <row r="134" ht="15.75" customHeight="1" s="377"/>
    <row r="135" ht="15.75" customHeight="1" s="377"/>
    <row r="136" ht="15.75" customHeight="1" s="377"/>
    <row r="137" ht="15.75" customHeight="1" s="377"/>
    <row r="138" ht="15.75" customHeight="1" s="377"/>
    <row r="139" ht="15.75" customHeight="1" s="377"/>
    <row r="140" ht="15.75" customHeight="1" s="377"/>
    <row r="141" ht="15.75" customHeight="1" s="377"/>
    <row r="142" ht="15.75" customHeight="1" s="377"/>
    <row r="143" ht="15.75" customHeight="1" s="377"/>
    <row r="144" ht="15.75" customHeight="1" s="377"/>
    <row r="145" ht="15.75" customHeight="1" s="377"/>
    <row r="146" ht="15.75" customHeight="1" s="377"/>
    <row r="147" ht="15.75" customHeight="1" s="377"/>
    <row r="148" ht="15.75" customHeight="1" s="377"/>
    <row r="149" ht="15.75" customHeight="1" s="377"/>
    <row r="150" ht="15.75" customHeight="1" s="377"/>
    <row r="151" ht="15.75" customHeight="1" s="377"/>
    <row r="152" ht="15.75" customHeight="1" s="377"/>
    <row r="153" ht="15.75" customHeight="1" s="377"/>
    <row r="154" ht="15.75" customHeight="1" s="377"/>
    <row r="155" ht="15.75" customHeight="1" s="377"/>
    <row r="156" ht="15.75" customHeight="1" s="377"/>
    <row r="157" ht="15.75" customHeight="1" s="377"/>
    <row r="158" ht="15.75" customHeight="1" s="377"/>
    <row r="159" ht="15.75" customHeight="1" s="377"/>
    <row r="160" ht="15.75" customHeight="1" s="377"/>
    <row r="161" ht="15.75" customHeight="1" s="377"/>
    <row r="162" ht="15.75" customHeight="1" s="377"/>
    <row r="163" ht="15.75" customHeight="1" s="377"/>
    <row r="164" ht="15.75" customHeight="1" s="377"/>
    <row r="165" ht="15.75" customHeight="1" s="377"/>
    <row r="166" ht="15.75" customHeight="1" s="377"/>
    <row r="167" ht="15.75" customHeight="1" s="377"/>
    <row r="168" ht="15.75" customHeight="1" s="377"/>
    <row r="169" ht="15.75" customHeight="1" s="377"/>
    <row r="170" ht="15.75" customHeight="1" s="377"/>
    <row r="171" ht="15.75" customHeight="1" s="377"/>
    <row r="172" ht="15.75" customHeight="1" s="377"/>
    <row r="173" ht="15.75" customHeight="1" s="377"/>
    <row r="174" ht="15.75" customHeight="1" s="377"/>
    <row r="175" ht="15.75" customHeight="1" s="377"/>
    <row r="176" ht="15.75" customHeight="1" s="377"/>
    <row r="177" ht="15.75" customHeight="1" s="377"/>
    <row r="178" ht="15.75" customHeight="1" s="377"/>
    <row r="179" ht="15.75" customHeight="1" s="377"/>
    <row r="180" ht="15.75" customHeight="1" s="377"/>
    <row r="181" ht="15.75" customHeight="1" s="377"/>
    <row r="182" ht="15.75" customHeight="1" s="377"/>
    <row r="183" ht="15.75" customHeight="1" s="377"/>
    <row r="184" ht="15.75" customHeight="1" s="377"/>
    <row r="185" ht="15.75" customHeight="1" s="377"/>
    <row r="186" ht="15.75" customHeight="1" s="377"/>
    <row r="187" ht="15.75" customHeight="1" s="377"/>
    <row r="188" ht="15.75" customHeight="1" s="377"/>
    <row r="189" ht="15.75" customHeight="1" s="377"/>
    <row r="190" ht="15.75" customHeight="1" s="377"/>
    <row r="191" ht="15.75" customHeight="1" s="377"/>
    <row r="192" ht="15.75" customHeight="1" s="377"/>
    <row r="193" ht="15.75" customHeight="1" s="377"/>
    <row r="194" ht="15.75" customHeight="1" s="377"/>
    <row r="195" ht="15.75" customHeight="1" s="377"/>
    <row r="196" ht="15.75" customHeight="1" s="377"/>
    <row r="197" ht="15.75" customHeight="1" s="377"/>
    <row r="198" ht="15.75" customHeight="1" s="377"/>
    <row r="199" ht="15.75" customHeight="1" s="377"/>
    <row r="200" ht="15.75" customHeight="1" s="377"/>
    <row r="201" ht="15.75" customHeight="1" s="377"/>
    <row r="202" ht="15.75" customHeight="1" s="377"/>
    <row r="203" ht="15.75" customHeight="1" s="377"/>
    <row r="204" ht="15.75" customHeight="1" s="377"/>
    <row r="205" ht="15.75" customHeight="1" s="377"/>
    <row r="206" ht="15.75" customHeight="1" s="377"/>
    <row r="207" ht="15.75" customHeight="1" s="377"/>
    <row r="208" ht="15.75" customHeight="1" s="377"/>
    <row r="209" ht="15.75" customHeight="1" s="377"/>
    <row r="210" ht="15.75" customHeight="1" s="377"/>
    <row r="211" ht="15.75" customHeight="1" s="377"/>
    <row r="212" ht="15.75" customHeight="1" s="377"/>
    <row r="213" ht="15.75" customHeight="1" s="377"/>
    <row r="214" ht="15.75" customHeight="1" s="377"/>
    <row r="215" ht="15.75" customHeight="1" s="377"/>
    <row r="216" ht="15.75" customHeight="1" s="377"/>
    <row r="217" ht="15.75" customHeight="1" s="377"/>
    <row r="218" ht="15.75" customHeight="1" s="377"/>
    <row r="219" ht="15.75" customHeight="1" s="377"/>
    <row r="220" ht="15.75" customHeight="1" s="377"/>
    <row r="221" ht="15.75" customHeight="1" s="377"/>
    <row r="222" ht="15.75" customHeight="1" s="377"/>
    <row r="223" ht="15.75" customHeight="1" s="377"/>
    <row r="224" ht="15.75" customHeight="1" s="377"/>
    <row r="225" ht="15.75" customHeight="1" s="377"/>
    <row r="226" ht="15.75" customHeight="1" s="377"/>
    <row r="227" ht="15.75" customHeight="1" s="377"/>
    <row r="228" ht="15.75" customHeight="1" s="377"/>
    <row r="229" ht="15.75" customHeight="1" s="377"/>
    <row r="230" ht="15.75" customHeight="1" s="377"/>
    <row r="231" ht="15.75" customHeight="1" s="377"/>
    <row r="232" ht="15.75" customHeight="1" s="377"/>
    <row r="233" ht="15.75" customHeight="1" s="377"/>
    <row r="234" ht="15.75" customHeight="1" s="377"/>
    <row r="235" ht="15.75" customHeight="1" s="377"/>
    <row r="236" ht="15.75" customHeight="1" s="377"/>
    <row r="237" ht="15.75" customHeight="1" s="377"/>
    <row r="238" ht="15.75" customHeight="1" s="377"/>
    <row r="239" ht="15.75" customHeight="1" s="377"/>
    <row r="240" ht="15.75" customHeight="1" s="377"/>
    <row r="241" ht="15.75" customHeight="1" s="377"/>
    <row r="242" ht="15.75" customHeight="1" s="377"/>
    <row r="243" ht="15.75" customHeight="1" s="377"/>
    <row r="244" ht="15.75" customHeight="1" s="377"/>
    <row r="245" ht="15.75" customHeight="1" s="377"/>
    <row r="246" ht="15.75" customHeight="1" s="377"/>
    <row r="247" ht="15.75" customHeight="1" s="377"/>
    <row r="248" ht="15.75" customHeight="1" s="377"/>
    <row r="249" ht="15.75" customHeight="1" s="377"/>
    <row r="250" ht="15.75" customHeight="1" s="377"/>
    <row r="251" ht="15.75" customHeight="1" s="377"/>
    <row r="252" ht="15.75" customHeight="1" s="377"/>
    <row r="253" ht="15.75" customHeight="1" s="377"/>
    <row r="254" ht="15.75" customHeight="1" s="377"/>
    <row r="255" ht="15.75" customHeight="1" s="377"/>
    <row r="256" ht="15.75" customHeight="1" s="377"/>
    <row r="257" ht="15.75" customHeight="1" s="377"/>
    <row r="258" ht="15.75" customHeight="1" s="377"/>
    <row r="259" ht="15.75" customHeight="1" s="377"/>
    <row r="260" ht="15.75" customHeight="1" s="377"/>
    <row r="261" ht="15.75" customHeight="1" s="377"/>
    <row r="262" ht="15.75" customHeight="1" s="377"/>
    <row r="263" ht="15.75" customHeight="1" s="377"/>
    <row r="264" ht="15.75" customHeight="1" s="377"/>
    <row r="265" ht="15.75" customHeight="1" s="377"/>
    <row r="266" ht="15.75" customHeight="1" s="377"/>
    <row r="267" ht="15.75" customHeight="1" s="377"/>
    <row r="268" ht="15.75" customHeight="1" s="377"/>
    <row r="269" ht="15.75" customHeight="1" s="377"/>
    <row r="270" ht="15.75" customHeight="1" s="377"/>
    <row r="271" ht="15.75" customHeight="1" s="377"/>
    <row r="272" ht="15.75" customHeight="1" s="377"/>
    <row r="273" ht="15.75" customHeight="1" s="377"/>
    <row r="274" ht="15.75" customHeight="1" s="377"/>
    <row r="275" ht="15.75" customHeight="1" s="377"/>
    <row r="276" ht="15.75" customHeight="1" s="377"/>
    <row r="277" ht="15.75" customHeight="1" s="377"/>
    <row r="278" ht="15.75" customHeight="1" s="377"/>
    <row r="279" ht="15.75" customHeight="1" s="377"/>
    <row r="280" ht="15.75" customHeight="1" s="377"/>
    <row r="281" ht="15.75" customHeight="1" s="377"/>
    <row r="282" ht="15.75" customHeight="1" s="377"/>
    <row r="283" ht="15.75" customHeight="1" s="377"/>
    <row r="284" ht="15.75" customHeight="1" s="377"/>
    <row r="285" ht="15.75" customHeight="1" s="377"/>
    <row r="286" ht="15.75" customHeight="1" s="377"/>
    <row r="287" ht="15.75" customHeight="1" s="377"/>
    <row r="288" ht="15.75" customHeight="1" s="377"/>
    <row r="289" ht="15.75" customHeight="1" s="377"/>
    <row r="290" ht="15.75" customHeight="1" s="377"/>
    <row r="291" ht="15.75" customHeight="1" s="377"/>
    <row r="292" ht="15.75" customHeight="1" s="377"/>
    <row r="293" ht="15.75" customHeight="1" s="377"/>
    <row r="294" ht="15.75" customHeight="1" s="377"/>
    <row r="295" ht="15.75" customHeight="1" s="377"/>
    <row r="296" ht="15.75" customHeight="1" s="377"/>
    <row r="297" ht="15.75" customHeight="1" s="377"/>
    <row r="298" ht="15.75" customHeight="1" s="377"/>
    <row r="299" ht="15.75" customHeight="1" s="377"/>
    <row r="300" ht="15.75" customHeight="1" s="377"/>
    <row r="301" ht="15.75" customHeight="1" s="377"/>
    <row r="302" ht="15.75" customHeight="1" s="377"/>
    <row r="303" ht="15.75" customHeight="1" s="377"/>
    <row r="304" ht="15.75" customHeight="1" s="377"/>
    <row r="305" ht="15.75" customHeight="1" s="377"/>
    <row r="306" ht="15.75" customHeight="1" s="377"/>
    <row r="307" ht="15.75" customHeight="1" s="377"/>
    <row r="308" ht="15.75" customHeight="1" s="377"/>
    <row r="309" ht="15.75" customHeight="1" s="377"/>
    <row r="310" ht="15.75" customHeight="1" s="377"/>
    <row r="311" ht="15.75" customHeight="1" s="377"/>
    <row r="312" ht="15.75" customHeight="1" s="377"/>
    <row r="313" ht="15.75" customHeight="1" s="377"/>
    <row r="314" ht="15.75" customHeight="1" s="377"/>
    <row r="315" ht="15.75" customHeight="1" s="377"/>
    <row r="316" ht="15.75" customHeight="1" s="377"/>
    <row r="317" ht="15.75" customHeight="1" s="377"/>
    <row r="318" ht="15.75" customHeight="1" s="377"/>
    <row r="319" ht="15.75" customHeight="1" s="377"/>
    <row r="320" ht="15.75" customHeight="1" s="377"/>
    <row r="321" ht="15.75" customHeight="1" s="377"/>
    <row r="322" ht="15.75" customHeight="1" s="377"/>
    <row r="323" ht="15.75" customHeight="1" s="377"/>
    <row r="324" ht="15.75" customHeight="1" s="377"/>
    <row r="325" ht="15.75" customHeight="1" s="377"/>
    <row r="326" ht="15.75" customHeight="1" s="377"/>
    <row r="327" ht="15.75" customHeight="1" s="377"/>
    <row r="328" ht="15.75" customHeight="1" s="377"/>
    <row r="329" ht="15.75" customHeight="1" s="377"/>
    <row r="330" ht="15.75" customHeight="1" s="377"/>
    <row r="331" ht="15.75" customHeight="1" s="377"/>
    <row r="332" ht="15.75" customHeight="1" s="377"/>
    <row r="333" ht="15.75" customHeight="1" s="377"/>
    <row r="334" ht="15.75" customHeight="1" s="377"/>
    <row r="335" ht="15.75" customHeight="1" s="377"/>
    <row r="336" ht="15.75" customHeight="1" s="377"/>
    <row r="337" ht="15.75" customHeight="1" s="377"/>
    <row r="338" ht="15.75" customHeight="1" s="377"/>
    <row r="339" ht="15.75" customHeight="1" s="377"/>
    <row r="340" ht="15.75" customHeight="1" s="377"/>
    <row r="341" ht="15.75" customHeight="1" s="377"/>
    <row r="342" ht="15.75" customHeight="1" s="377"/>
    <row r="343" ht="15.75" customHeight="1" s="377"/>
    <row r="344" ht="15.75" customHeight="1" s="377"/>
    <row r="345" ht="15.75" customHeight="1" s="377"/>
    <row r="346" ht="15.75" customHeight="1" s="377"/>
    <row r="347" ht="15.75" customHeight="1" s="377"/>
    <row r="348" ht="15.75" customHeight="1" s="377"/>
    <row r="349" ht="15.75" customHeight="1" s="377"/>
    <row r="350" ht="15.75" customHeight="1" s="377"/>
    <row r="351" ht="15.75" customHeight="1" s="377"/>
    <row r="352" ht="15.75" customHeight="1" s="377"/>
    <row r="353" ht="15.75" customHeight="1" s="377"/>
    <row r="354" ht="15.75" customHeight="1" s="377"/>
    <row r="355" ht="15.75" customHeight="1" s="377"/>
    <row r="356" ht="15.75" customHeight="1" s="377"/>
    <row r="357" ht="15.75" customHeight="1" s="377"/>
    <row r="358" ht="15.75" customHeight="1" s="377"/>
    <row r="359" ht="15.75" customHeight="1" s="377"/>
    <row r="360" ht="15.75" customHeight="1" s="377"/>
    <row r="361" ht="15.75" customHeight="1" s="377"/>
    <row r="362" ht="15.75" customHeight="1" s="377"/>
    <row r="363" ht="15.75" customHeight="1" s="377"/>
    <row r="364" ht="15.75" customHeight="1" s="377"/>
    <row r="365" ht="15.75" customHeight="1" s="377"/>
    <row r="366" ht="15.75" customHeight="1" s="377"/>
    <row r="367" ht="15.75" customHeight="1" s="377"/>
    <row r="368" ht="15.75" customHeight="1" s="377"/>
    <row r="369" ht="15.75" customHeight="1" s="377"/>
    <row r="370" ht="15.75" customHeight="1" s="377"/>
    <row r="371" ht="15.75" customHeight="1" s="377"/>
    <row r="372" ht="15.75" customHeight="1" s="377"/>
    <row r="373" ht="15.75" customHeight="1" s="377"/>
    <row r="374" ht="15.75" customHeight="1" s="377"/>
    <row r="375" ht="15.75" customHeight="1" s="377"/>
    <row r="376" ht="15.75" customHeight="1" s="377"/>
    <row r="377" ht="15.75" customHeight="1" s="377"/>
    <row r="378" ht="15.75" customHeight="1" s="377"/>
    <row r="379" ht="15.75" customHeight="1" s="377"/>
    <row r="380" ht="15.75" customHeight="1" s="377"/>
    <row r="381" ht="15.75" customHeight="1" s="377"/>
    <row r="382" ht="15.75" customHeight="1" s="377"/>
    <row r="383" ht="15.75" customHeight="1" s="377"/>
    <row r="384" ht="15.75" customHeight="1" s="377"/>
    <row r="385" ht="15.75" customHeight="1" s="377"/>
    <row r="386" ht="15.75" customHeight="1" s="377"/>
    <row r="387" ht="15.75" customHeight="1" s="377"/>
    <row r="388" ht="15.75" customHeight="1" s="377"/>
    <row r="389" ht="15.75" customHeight="1" s="377"/>
    <row r="390" ht="15.75" customHeight="1" s="377"/>
    <row r="391" ht="15.75" customHeight="1" s="377"/>
    <row r="392" ht="15.75" customHeight="1" s="377"/>
    <row r="393" ht="15.75" customHeight="1" s="377"/>
    <row r="394" ht="15.75" customHeight="1" s="377"/>
    <row r="395" ht="15.75" customHeight="1" s="377"/>
    <row r="396" ht="15.75" customHeight="1" s="377"/>
    <row r="397" ht="15.75" customHeight="1" s="377"/>
    <row r="398" ht="15.75" customHeight="1" s="377"/>
    <row r="399" ht="15.75" customHeight="1" s="377"/>
    <row r="400" ht="15.75" customHeight="1" s="377"/>
    <row r="401" ht="15.75" customHeight="1" s="377"/>
    <row r="402" ht="15.75" customHeight="1" s="377"/>
    <row r="403" ht="15.75" customHeight="1" s="377"/>
    <row r="404" ht="15.75" customHeight="1" s="377"/>
    <row r="405" ht="15.75" customHeight="1" s="377"/>
    <row r="406" ht="15.75" customHeight="1" s="377"/>
    <row r="407" ht="15.75" customHeight="1" s="377"/>
    <row r="408" ht="15.75" customHeight="1" s="377"/>
    <row r="409" ht="15.75" customHeight="1" s="377"/>
    <row r="410" ht="15.75" customHeight="1" s="377"/>
    <row r="411" ht="15.75" customHeight="1" s="377"/>
    <row r="412" ht="15.75" customHeight="1" s="377"/>
    <row r="413" ht="15.75" customHeight="1" s="377"/>
    <row r="414" ht="15.75" customHeight="1" s="377"/>
    <row r="415" ht="15.75" customHeight="1" s="377"/>
    <row r="416" ht="15.75" customHeight="1" s="377"/>
    <row r="417" ht="15.75" customHeight="1" s="377"/>
    <row r="418" ht="15.75" customHeight="1" s="377"/>
    <row r="419" ht="15.75" customHeight="1" s="377"/>
    <row r="420" ht="15.75" customHeight="1" s="377"/>
    <row r="421" ht="15.75" customHeight="1" s="377"/>
    <row r="422" ht="15.75" customHeight="1" s="377"/>
    <row r="423" ht="15.75" customHeight="1" s="377"/>
    <row r="424" ht="15.75" customHeight="1" s="377"/>
    <row r="425" ht="15.75" customHeight="1" s="377"/>
    <row r="426" ht="15.75" customHeight="1" s="377"/>
    <row r="427" ht="15.75" customHeight="1" s="377"/>
    <row r="428" ht="15.75" customHeight="1" s="377"/>
    <row r="429" ht="15.75" customHeight="1" s="377"/>
    <row r="430" ht="15.75" customHeight="1" s="377"/>
    <row r="431" ht="15.75" customHeight="1" s="377"/>
    <row r="432" ht="15.75" customHeight="1" s="377"/>
    <row r="433" ht="15.75" customHeight="1" s="377"/>
    <row r="434" ht="15.75" customHeight="1" s="377"/>
    <row r="435" ht="15.75" customHeight="1" s="377"/>
    <row r="436" ht="15.75" customHeight="1" s="377"/>
    <row r="437" ht="15.75" customHeight="1" s="377"/>
    <row r="438" ht="15.75" customHeight="1" s="377"/>
    <row r="439" ht="15.75" customHeight="1" s="377"/>
    <row r="440" ht="15.75" customHeight="1" s="377"/>
    <row r="441" ht="15.75" customHeight="1" s="377"/>
    <row r="442" ht="15.75" customHeight="1" s="377"/>
    <row r="443" ht="15.75" customHeight="1" s="377"/>
    <row r="444" ht="15.75" customHeight="1" s="377"/>
    <row r="445" ht="15.75" customHeight="1" s="377"/>
    <row r="446" ht="15.75" customHeight="1" s="377"/>
    <row r="447" ht="15.75" customHeight="1" s="377"/>
    <row r="448" ht="15.75" customHeight="1" s="377"/>
    <row r="449" ht="15.75" customHeight="1" s="377"/>
    <row r="450" ht="15.75" customHeight="1" s="377"/>
    <row r="451" ht="15.75" customHeight="1" s="377"/>
    <row r="452" ht="15.75" customHeight="1" s="377"/>
    <row r="453" ht="15.75" customHeight="1" s="377"/>
    <row r="454" ht="15.75" customHeight="1" s="377"/>
    <row r="455" ht="15.75" customHeight="1" s="377"/>
    <row r="456" ht="15.75" customHeight="1" s="377"/>
    <row r="457" ht="15.75" customHeight="1" s="377"/>
    <row r="458" ht="15.75" customHeight="1" s="377"/>
    <row r="459" ht="15.75" customHeight="1" s="377"/>
    <row r="460" ht="15.75" customHeight="1" s="377"/>
    <row r="461" ht="15.75" customHeight="1" s="377"/>
    <row r="462" ht="15.75" customHeight="1" s="377"/>
    <row r="463" ht="15.75" customHeight="1" s="377"/>
    <row r="464" ht="15.75" customHeight="1" s="377"/>
    <row r="465" ht="15.75" customHeight="1" s="377"/>
    <row r="466" ht="15.75" customHeight="1" s="377"/>
    <row r="467" ht="15.75" customHeight="1" s="377"/>
    <row r="468" ht="15.75" customHeight="1" s="377"/>
    <row r="469" ht="15.75" customHeight="1" s="377"/>
    <row r="470" ht="15.75" customHeight="1" s="377"/>
    <row r="471" ht="15.75" customHeight="1" s="377"/>
    <row r="472" ht="15.75" customHeight="1" s="377"/>
    <row r="473" ht="15.75" customHeight="1" s="377"/>
    <row r="474" ht="15.75" customHeight="1" s="377"/>
    <row r="475" ht="15.75" customHeight="1" s="377"/>
    <row r="476" ht="15.75" customHeight="1" s="377"/>
    <row r="477" ht="15.75" customHeight="1" s="377"/>
    <row r="478" ht="15.75" customHeight="1" s="377"/>
    <row r="479" ht="15.75" customHeight="1" s="377"/>
    <row r="480" ht="15.75" customHeight="1" s="377"/>
    <row r="481" ht="15.75" customHeight="1" s="377"/>
    <row r="482" ht="15.75" customHeight="1" s="377"/>
    <row r="483" ht="15.75" customHeight="1" s="377"/>
    <row r="484" ht="15.75" customHeight="1" s="377"/>
    <row r="485" ht="15.75" customHeight="1" s="377"/>
    <row r="486" ht="15.75" customHeight="1" s="377"/>
    <row r="487" ht="15.75" customHeight="1" s="377"/>
    <row r="488" ht="15.75" customHeight="1" s="377"/>
    <row r="489" ht="15.75" customHeight="1" s="377"/>
    <row r="490" ht="15.75" customHeight="1" s="377"/>
    <row r="491" ht="15.75" customHeight="1" s="377"/>
    <row r="492" ht="15.75" customHeight="1" s="377"/>
    <row r="493" ht="15.75" customHeight="1" s="377"/>
    <row r="494" ht="15.75" customHeight="1" s="377"/>
    <row r="495" ht="15.75" customHeight="1" s="377"/>
    <row r="496" ht="15.75" customHeight="1" s="377"/>
    <row r="497" ht="15.75" customHeight="1" s="377"/>
    <row r="498" ht="15.75" customHeight="1" s="377"/>
    <row r="499" ht="15.75" customHeight="1" s="377"/>
    <row r="500" ht="15.75" customHeight="1" s="377"/>
    <row r="501" ht="15.75" customHeight="1" s="377"/>
    <row r="502" ht="15.75" customHeight="1" s="377"/>
    <row r="503" ht="15.75" customHeight="1" s="377"/>
    <row r="504" ht="15.75" customHeight="1" s="377"/>
    <row r="505" ht="15.75" customHeight="1" s="377"/>
    <row r="506" ht="15.75" customHeight="1" s="377"/>
    <row r="507" ht="15.75" customHeight="1" s="377"/>
    <row r="508" ht="15.75" customHeight="1" s="377"/>
    <row r="509" ht="15.75" customHeight="1" s="377"/>
    <row r="510" ht="15.75" customHeight="1" s="377"/>
    <row r="511" ht="15.75" customHeight="1" s="377"/>
    <row r="512" ht="15.75" customHeight="1" s="377"/>
    <row r="513" ht="15.75" customHeight="1" s="377"/>
    <row r="514" ht="15.75" customHeight="1" s="377"/>
    <row r="515" ht="15.75" customHeight="1" s="377"/>
    <row r="516" ht="15.75" customHeight="1" s="377"/>
    <row r="517" ht="15.75" customHeight="1" s="377"/>
    <row r="518" ht="15.75" customHeight="1" s="377"/>
    <row r="519" ht="15.75" customHeight="1" s="377"/>
    <row r="520" ht="15.75" customHeight="1" s="377"/>
    <row r="521" ht="15.75" customHeight="1" s="377"/>
    <row r="522" ht="15.75" customHeight="1" s="377"/>
    <row r="523" ht="15.75" customHeight="1" s="377"/>
    <row r="524" ht="15.75" customHeight="1" s="377"/>
    <row r="525" ht="15.75" customHeight="1" s="377"/>
    <row r="526" ht="15.75" customHeight="1" s="377"/>
    <row r="527" ht="15.75" customHeight="1" s="377"/>
    <row r="528" ht="15.75" customHeight="1" s="377"/>
    <row r="529" ht="15.75" customHeight="1" s="377"/>
    <row r="530" ht="15.75" customHeight="1" s="377"/>
    <row r="531" ht="15.75" customHeight="1" s="377"/>
    <row r="532" ht="15.75" customHeight="1" s="377"/>
    <row r="533" ht="15.75" customHeight="1" s="377"/>
    <row r="534" ht="15.75" customHeight="1" s="377"/>
    <row r="535" ht="15.75" customHeight="1" s="377"/>
    <row r="536" ht="15.75" customHeight="1" s="377"/>
    <row r="537" ht="15.75" customHeight="1" s="377"/>
    <row r="538" ht="15.75" customHeight="1" s="377"/>
    <row r="539" ht="15.75" customHeight="1" s="377"/>
    <row r="540" ht="15.75" customHeight="1" s="377"/>
    <row r="541" ht="15.75" customHeight="1" s="377"/>
    <row r="542" ht="15.75" customHeight="1" s="377"/>
    <row r="543" ht="15.75" customHeight="1" s="377"/>
    <row r="544" ht="15.75" customHeight="1" s="377"/>
    <row r="545" ht="15.75" customHeight="1" s="377"/>
    <row r="546" ht="15.75" customHeight="1" s="377"/>
    <row r="547" ht="15.75" customHeight="1" s="377"/>
    <row r="548" ht="15.75" customHeight="1" s="377"/>
    <row r="549" ht="15.75" customHeight="1" s="377"/>
    <row r="550" ht="15.75" customHeight="1" s="377"/>
    <row r="551" ht="15.75" customHeight="1" s="377"/>
    <row r="552" ht="15.75" customHeight="1" s="377"/>
    <row r="553" ht="15.75" customHeight="1" s="377"/>
    <row r="554" ht="15.75" customHeight="1" s="377"/>
    <row r="555" ht="15.75" customHeight="1" s="377"/>
    <row r="556" ht="15.75" customHeight="1" s="377"/>
    <row r="557" ht="15.75" customHeight="1" s="377"/>
    <row r="558" ht="15.75" customHeight="1" s="377"/>
    <row r="559" ht="15.75" customHeight="1" s="377"/>
    <row r="560" ht="15.75" customHeight="1" s="377"/>
    <row r="561" ht="15.75" customHeight="1" s="377"/>
    <row r="562" ht="15.75" customHeight="1" s="377"/>
    <row r="563" ht="15.75" customHeight="1" s="377"/>
    <row r="564" ht="15.75" customHeight="1" s="377"/>
    <row r="565" ht="15.75" customHeight="1" s="377"/>
    <row r="566" ht="15.75" customHeight="1" s="377"/>
    <row r="567" ht="15.75" customHeight="1" s="377"/>
    <row r="568" ht="15.75" customHeight="1" s="377"/>
    <row r="569" ht="15.75" customHeight="1" s="377"/>
    <row r="570" ht="15.75" customHeight="1" s="377"/>
    <row r="571" ht="15.75" customHeight="1" s="377"/>
    <row r="572" ht="15.75" customHeight="1" s="377"/>
    <row r="573" ht="15.75" customHeight="1" s="377"/>
    <row r="574" ht="15.75" customHeight="1" s="377"/>
    <row r="575" ht="15.75" customHeight="1" s="377"/>
    <row r="576" ht="15.75" customHeight="1" s="377"/>
    <row r="577" ht="15.75" customHeight="1" s="377"/>
    <row r="578" ht="15.75" customHeight="1" s="377"/>
    <row r="579" ht="15.75" customHeight="1" s="377"/>
    <row r="580" ht="15.75" customHeight="1" s="377"/>
    <row r="581" ht="15.75" customHeight="1" s="377"/>
    <row r="582" ht="15.75" customHeight="1" s="377"/>
    <row r="583" ht="15.75" customHeight="1" s="377"/>
    <row r="584" ht="15.75" customHeight="1" s="377"/>
    <row r="585" ht="15.75" customHeight="1" s="377"/>
    <row r="586" ht="15.75" customHeight="1" s="377"/>
    <row r="587" ht="15.75" customHeight="1" s="377"/>
    <row r="588" ht="15.75" customHeight="1" s="377"/>
    <row r="589" ht="15.75" customHeight="1" s="377"/>
    <row r="590" ht="15.75" customHeight="1" s="377"/>
    <row r="591" ht="15.75" customHeight="1" s="377"/>
    <row r="592" ht="15.75" customHeight="1" s="377"/>
    <row r="593" ht="15.75" customHeight="1" s="377"/>
    <row r="594" ht="15.75" customHeight="1" s="377"/>
    <row r="595" ht="15.75" customHeight="1" s="377"/>
    <row r="596" ht="15.75" customHeight="1" s="377"/>
    <row r="597" ht="15.75" customHeight="1" s="377"/>
    <row r="598" ht="15.75" customHeight="1" s="377"/>
    <row r="599" ht="15.75" customHeight="1" s="377"/>
    <row r="600" ht="15.75" customHeight="1" s="377"/>
    <row r="601" ht="15.75" customHeight="1" s="377"/>
    <row r="602" ht="15.75" customHeight="1" s="377"/>
    <row r="603" ht="15.75" customHeight="1" s="377"/>
    <row r="604" ht="15.75" customHeight="1" s="377"/>
    <row r="605" ht="15.75" customHeight="1" s="377"/>
    <row r="606" ht="15.75" customHeight="1" s="377"/>
    <row r="607" ht="15.75" customHeight="1" s="377"/>
    <row r="608" ht="15.75" customHeight="1" s="377"/>
    <row r="609" ht="15.75" customHeight="1" s="377"/>
    <row r="610" ht="15.75" customHeight="1" s="377"/>
    <row r="611" ht="15.75" customHeight="1" s="377"/>
    <row r="612" ht="15.75" customHeight="1" s="377"/>
    <row r="613" ht="15.75" customHeight="1" s="377"/>
    <row r="614" ht="15.75" customHeight="1" s="377"/>
    <row r="615" ht="15.75" customHeight="1" s="377"/>
    <row r="616" ht="15.75" customHeight="1" s="377"/>
    <row r="617" ht="15.75" customHeight="1" s="377"/>
    <row r="618" ht="15.75" customHeight="1" s="377"/>
    <row r="619" ht="15.75" customHeight="1" s="377"/>
    <row r="620" ht="15.75" customHeight="1" s="377"/>
    <row r="621" ht="15.75" customHeight="1" s="377"/>
    <row r="622" ht="15.75" customHeight="1" s="377"/>
    <row r="623" ht="15.75" customHeight="1" s="377"/>
    <row r="624" ht="15.75" customHeight="1" s="377"/>
    <row r="625" ht="15.75" customHeight="1" s="377"/>
    <row r="626" ht="15.75" customHeight="1" s="377"/>
    <row r="627" ht="15.75" customHeight="1" s="377"/>
    <row r="628" ht="15.75" customHeight="1" s="377"/>
    <row r="629" ht="15.75" customHeight="1" s="377"/>
    <row r="630" ht="15.75" customHeight="1" s="377"/>
    <row r="631" ht="15.75" customHeight="1" s="377"/>
    <row r="632" ht="15.75" customHeight="1" s="377"/>
    <row r="633" ht="15.75" customHeight="1" s="377"/>
    <row r="634" ht="15.75" customHeight="1" s="377"/>
    <row r="635" ht="15.75" customHeight="1" s="377"/>
    <row r="636" ht="15.75" customHeight="1" s="377"/>
    <row r="637" ht="15.75" customHeight="1" s="377"/>
    <row r="638" ht="15.75" customHeight="1" s="377"/>
    <row r="639" ht="15.75" customHeight="1" s="377"/>
    <row r="640" ht="15.75" customHeight="1" s="377"/>
    <row r="641" ht="15.75" customHeight="1" s="377"/>
    <row r="642" ht="15.75" customHeight="1" s="377"/>
    <row r="643" ht="15.75" customHeight="1" s="377"/>
    <row r="644" ht="15.75" customHeight="1" s="377"/>
    <row r="645" ht="15.75" customHeight="1" s="377"/>
    <row r="646" ht="15.75" customHeight="1" s="377"/>
    <row r="647" ht="15.75" customHeight="1" s="377"/>
    <row r="648" ht="15.75" customHeight="1" s="377"/>
    <row r="649" ht="15.75" customHeight="1" s="377"/>
    <row r="650" ht="15.75" customHeight="1" s="377"/>
    <row r="651" ht="15.75" customHeight="1" s="377"/>
    <row r="652" ht="15.75" customHeight="1" s="377"/>
    <row r="653" ht="15.75" customHeight="1" s="377"/>
    <row r="654" ht="15.75" customHeight="1" s="377"/>
    <row r="655" ht="15.75" customHeight="1" s="377"/>
    <row r="656" ht="15.75" customHeight="1" s="377"/>
    <row r="657" ht="15.75" customHeight="1" s="377"/>
    <row r="658" ht="15.75" customHeight="1" s="377"/>
    <row r="659" ht="15.75" customHeight="1" s="377"/>
    <row r="660" ht="15.75" customHeight="1" s="377"/>
    <row r="661" ht="15.75" customHeight="1" s="377"/>
    <row r="662" ht="15.75" customHeight="1" s="377"/>
    <row r="663" ht="15.75" customHeight="1" s="377"/>
    <row r="664" ht="15.75" customHeight="1" s="377"/>
    <row r="665" ht="15.75" customHeight="1" s="377"/>
    <row r="666" ht="15.75" customHeight="1" s="377"/>
    <row r="667" ht="15.75" customHeight="1" s="377"/>
    <row r="668" ht="15.75" customHeight="1" s="377"/>
    <row r="669" ht="15.75" customHeight="1" s="377"/>
    <row r="670" ht="15.75" customHeight="1" s="377"/>
    <row r="671" ht="15.75" customHeight="1" s="377"/>
    <row r="672" ht="15.75" customHeight="1" s="377"/>
    <row r="673" ht="15.75" customHeight="1" s="377"/>
    <row r="674" ht="15.75" customHeight="1" s="377"/>
    <row r="675" ht="15.75" customHeight="1" s="377"/>
    <row r="676" ht="15.75" customHeight="1" s="377"/>
    <row r="677" ht="15.75" customHeight="1" s="377"/>
    <row r="678" ht="15.75" customHeight="1" s="377"/>
    <row r="679" ht="15.75" customHeight="1" s="377"/>
    <row r="680" ht="15.75" customHeight="1" s="377"/>
    <row r="681" ht="15.75" customHeight="1" s="377"/>
    <row r="682" ht="15.75" customHeight="1" s="377"/>
    <row r="683" ht="15.75" customHeight="1" s="377"/>
    <row r="684" ht="15.75" customHeight="1" s="377"/>
    <row r="685" ht="15.75" customHeight="1" s="377"/>
    <row r="686" ht="15.75" customHeight="1" s="377"/>
    <row r="687" ht="15.75" customHeight="1" s="377"/>
    <row r="688" ht="15.75" customHeight="1" s="377"/>
    <row r="689" ht="15.75" customHeight="1" s="377"/>
    <row r="690" ht="15.75" customHeight="1" s="377"/>
    <row r="691" ht="15.75" customHeight="1" s="377"/>
    <row r="692" ht="15.75" customHeight="1" s="377"/>
    <row r="693" ht="15.75" customHeight="1" s="377"/>
    <row r="694" ht="15.75" customHeight="1" s="377"/>
    <row r="695" ht="15.75" customHeight="1" s="377"/>
    <row r="696" ht="15.75" customHeight="1" s="377"/>
    <row r="697" ht="15.75" customHeight="1" s="377"/>
    <row r="698" ht="15.75" customHeight="1" s="377"/>
    <row r="699" ht="15.75" customHeight="1" s="377"/>
    <row r="700" ht="15.75" customHeight="1" s="377"/>
    <row r="701" ht="15.75" customHeight="1" s="377"/>
    <row r="702" ht="15.75" customHeight="1" s="377"/>
    <row r="703" ht="15.75" customHeight="1" s="377"/>
    <row r="704" ht="15.75" customHeight="1" s="377"/>
    <row r="705" ht="15.75" customHeight="1" s="377"/>
    <row r="706" ht="15.75" customHeight="1" s="377"/>
    <row r="707" ht="15.75" customHeight="1" s="377"/>
    <row r="708" ht="15.75" customHeight="1" s="377"/>
    <row r="709" ht="15.75" customHeight="1" s="377"/>
    <row r="710" ht="15.75" customHeight="1" s="377"/>
    <row r="711" ht="15.75" customHeight="1" s="377"/>
    <row r="712" ht="15.75" customHeight="1" s="377"/>
    <row r="713" ht="15.75" customHeight="1" s="377"/>
    <row r="714" ht="15.75" customHeight="1" s="377"/>
    <row r="715" ht="15.75" customHeight="1" s="377"/>
    <row r="716" ht="15.75" customHeight="1" s="377"/>
    <row r="717" ht="15.75" customHeight="1" s="377"/>
    <row r="718" ht="15.75" customHeight="1" s="377"/>
    <row r="719" ht="15.75" customHeight="1" s="377"/>
    <row r="720" ht="15.75" customHeight="1" s="377"/>
    <row r="721" ht="15.75" customHeight="1" s="377"/>
    <row r="722" ht="15.75" customHeight="1" s="377"/>
    <row r="723" ht="15.75" customHeight="1" s="377"/>
    <row r="724" ht="15.75" customHeight="1" s="377"/>
    <row r="725" ht="15.75" customHeight="1" s="377"/>
    <row r="726" ht="15.75" customHeight="1" s="377"/>
    <row r="727" ht="15.75" customHeight="1" s="377"/>
    <row r="728" ht="15.75" customHeight="1" s="377"/>
    <row r="729" ht="15.75" customHeight="1" s="377"/>
    <row r="730" ht="15.75" customHeight="1" s="377"/>
    <row r="731" ht="15.75" customHeight="1" s="377"/>
    <row r="732" ht="15.75" customHeight="1" s="377"/>
    <row r="733" ht="15.75" customHeight="1" s="377"/>
    <row r="734" ht="15.75" customHeight="1" s="377"/>
    <row r="735" ht="15.75" customHeight="1" s="377"/>
    <row r="736" ht="15.75" customHeight="1" s="377"/>
    <row r="737" ht="15.75" customHeight="1" s="377"/>
    <row r="738" ht="15.75" customHeight="1" s="377"/>
    <row r="739" ht="15.75" customHeight="1" s="377"/>
    <row r="740" ht="15.75" customHeight="1" s="377"/>
    <row r="741" ht="15.75" customHeight="1" s="377"/>
    <row r="742" ht="15.75" customHeight="1" s="377"/>
    <row r="743" ht="15.75" customHeight="1" s="377"/>
    <row r="744" ht="15.75" customHeight="1" s="377"/>
    <row r="745" ht="15.75" customHeight="1" s="377"/>
    <row r="746" ht="15.75" customHeight="1" s="377"/>
    <row r="747" ht="15.75" customHeight="1" s="377"/>
    <row r="748" ht="15.75" customHeight="1" s="377"/>
    <row r="749" ht="15.75" customHeight="1" s="377"/>
    <row r="750" ht="15.75" customHeight="1" s="377"/>
    <row r="751" ht="15.75" customHeight="1" s="377"/>
    <row r="752" ht="15.75" customHeight="1" s="377"/>
    <row r="753" ht="15.75" customHeight="1" s="377"/>
    <row r="754" ht="15.75" customHeight="1" s="377"/>
    <row r="755" ht="15.75" customHeight="1" s="377"/>
    <row r="756" ht="15.75" customHeight="1" s="377"/>
    <row r="757" ht="15.75" customHeight="1" s="377"/>
    <row r="758" ht="15.75" customHeight="1" s="377"/>
    <row r="759" ht="15.75" customHeight="1" s="377"/>
    <row r="760" ht="15.75" customHeight="1" s="377"/>
    <row r="761" ht="15.75" customHeight="1" s="377"/>
    <row r="762" ht="15.75" customHeight="1" s="377"/>
    <row r="763" ht="15.75" customHeight="1" s="377"/>
    <row r="764" ht="15.75" customHeight="1" s="377"/>
    <row r="765" ht="15.75" customHeight="1" s="377"/>
    <row r="766" ht="15.75" customHeight="1" s="377"/>
    <row r="767" ht="15.75" customHeight="1" s="377"/>
    <row r="768" ht="15.75" customHeight="1" s="377"/>
    <row r="769" ht="15.75" customHeight="1" s="377"/>
    <row r="770" ht="15.75" customHeight="1" s="377"/>
    <row r="771" ht="15.75" customHeight="1" s="377"/>
    <row r="772" ht="15.75" customHeight="1" s="377"/>
    <row r="773" ht="15.75" customHeight="1" s="377"/>
    <row r="774" ht="15.75" customHeight="1" s="377"/>
    <row r="775" ht="15.75" customHeight="1" s="377"/>
    <row r="776" ht="15.75" customHeight="1" s="377"/>
    <row r="777" ht="15.75" customHeight="1" s="377"/>
    <row r="778" ht="15.75" customHeight="1" s="377"/>
    <row r="779" ht="15.75" customHeight="1" s="377"/>
    <row r="780" ht="15.75" customHeight="1" s="377"/>
    <row r="781" ht="15.75" customHeight="1" s="377"/>
    <row r="782" ht="15.75" customHeight="1" s="377"/>
    <row r="783" ht="15.75" customHeight="1" s="377"/>
    <row r="784" ht="15.75" customHeight="1" s="377"/>
    <row r="785" ht="15.75" customHeight="1" s="377"/>
    <row r="786" ht="15.75" customHeight="1" s="377"/>
    <row r="787" ht="15.75" customHeight="1" s="377"/>
    <row r="788" ht="15.75" customHeight="1" s="377"/>
    <row r="789" ht="15.75" customHeight="1" s="377"/>
    <row r="790" ht="15.75" customHeight="1" s="377"/>
    <row r="791" ht="15.75" customHeight="1" s="377"/>
    <row r="792" ht="15.75" customHeight="1" s="377"/>
    <row r="793" ht="15.75" customHeight="1" s="377"/>
    <row r="794" ht="15.75" customHeight="1" s="377"/>
    <row r="795" ht="15.75" customHeight="1" s="377"/>
    <row r="796" ht="15.75" customHeight="1" s="377"/>
    <row r="797" ht="15.75" customHeight="1" s="377"/>
    <row r="798" ht="15.75" customHeight="1" s="377"/>
    <row r="799" ht="15.75" customHeight="1" s="377"/>
    <row r="800" ht="15.75" customHeight="1" s="377"/>
    <row r="801" ht="15.75" customHeight="1" s="377"/>
    <row r="802" ht="15.75" customHeight="1" s="377"/>
    <row r="803" ht="15.75" customHeight="1" s="377"/>
    <row r="804" ht="15.75" customHeight="1" s="377"/>
    <row r="805" ht="15.75" customHeight="1" s="377"/>
    <row r="806" ht="15.75" customHeight="1" s="377"/>
    <row r="807" ht="15.75" customHeight="1" s="377"/>
    <row r="808" ht="15.75" customHeight="1" s="377"/>
    <row r="809" ht="15.75" customHeight="1" s="377"/>
    <row r="810" ht="15.75" customHeight="1" s="377"/>
    <row r="811" ht="15.75" customHeight="1" s="377"/>
    <row r="812" ht="15.75" customHeight="1" s="377"/>
    <row r="813" ht="15.75" customHeight="1" s="377"/>
    <row r="814" ht="15.75" customHeight="1" s="377"/>
    <row r="815" ht="15.75" customHeight="1" s="377"/>
    <row r="816" ht="15.75" customHeight="1" s="377"/>
    <row r="817" ht="15.75" customHeight="1" s="377"/>
    <row r="818" ht="15.75" customHeight="1" s="377"/>
    <row r="819" ht="15.75" customHeight="1" s="377"/>
    <row r="820" ht="15.75" customHeight="1" s="377"/>
    <row r="821" ht="15.75" customHeight="1" s="377"/>
    <row r="822" ht="15.75" customHeight="1" s="377"/>
    <row r="823" ht="15.75" customHeight="1" s="377"/>
    <row r="824" ht="15.75" customHeight="1" s="377"/>
    <row r="825" ht="15.75" customHeight="1" s="377"/>
    <row r="826" ht="15.75" customHeight="1" s="377"/>
    <row r="827" ht="15.75" customHeight="1" s="377"/>
    <row r="828" ht="15.75" customHeight="1" s="377"/>
    <row r="829" ht="15.75" customHeight="1" s="377"/>
    <row r="830" ht="15.75" customHeight="1" s="377"/>
    <row r="831" ht="15.75" customHeight="1" s="377"/>
    <row r="832" ht="15.75" customHeight="1" s="377"/>
    <row r="833" ht="15.75" customHeight="1" s="377"/>
    <row r="834" ht="15.75" customHeight="1" s="377"/>
    <row r="835" ht="15.75" customHeight="1" s="377"/>
    <row r="836" ht="15.75" customHeight="1" s="377"/>
    <row r="837" ht="15.75" customHeight="1" s="377"/>
    <row r="838" ht="15.75" customHeight="1" s="377"/>
    <row r="839" ht="15.75" customHeight="1" s="377"/>
    <row r="840" ht="15.75" customHeight="1" s="377"/>
    <row r="841" ht="15.75" customHeight="1" s="377"/>
    <row r="842" ht="15.75" customHeight="1" s="377"/>
    <row r="843" ht="15.75" customHeight="1" s="377"/>
    <row r="844" ht="15.75" customHeight="1" s="377"/>
    <row r="845" ht="15.75" customHeight="1" s="377"/>
    <row r="846" ht="15.75" customHeight="1" s="377"/>
    <row r="847" ht="15.75" customHeight="1" s="377"/>
    <row r="848" ht="15.75" customHeight="1" s="377"/>
    <row r="849" ht="15.75" customHeight="1" s="377"/>
    <row r="850" ht="15.75" customHeight="1" s="377"/>
    <row r="851" ht="15.75" customHeight="1" s="377"/>
    <row r="852" ht="15.75" customHeight="1" s="377"/>
    <row r="853" ht="15.75" customHeight="1" s="377"/>
    <row r="854" ht="15.75" customHeight="1" s="377"/>
    <row r="855" ht="15.75" customHeight="1" s="377"/>
    <row r="856" ht="15.75" customHeight="1" s="377"/>
    <row r="857" ht="15.75" customHeight="1" s="377"/>
    <row r="858" ht="15.75" customHeight="1" s="377"/>
    <row r="859" ht="15.75" customHeight="1" s="377"/>
    <row r="860" ht="15.75" customHeight="1" s="377"/>
    <row r="861" ht="15.75" customHeight="1" s="377"/>
    <row r="862" ht="15.75" customHeight="1" s="377"/>
    <row r="863" ht="15.75" customHeight="1" s="377"/>
    <row r="864" ht="15.75" customHeight="1" s="377"/>
    <row r="865" ht="15.75" customHeight="1" s="377"/>
    <row r="866" ht="15.75" customHeight="1" s="377"/>
    <row r="867" ht="15.75" customHeight="1" s="377"/>
    <row r="868" ht="15.75" customHeight="1" s="377"/>
    <row r="869" ht="15.75" customHeight="1" s="377"/>
    <row r="870" ht="15.75" customHeight="1" s="377"/>
    <row r="871" ht="15.75" customHeight="1" s="377"/>
    <row r="872" ht="15.75" customHeight="1" s="377"/>
    <row r="873" ht="15.75" customHeight="1" s="377"/>
    <row r="874" ht="15.75" customHeight="1" s="377"/>
    <row r="875" ht="15.75" customHeight="1" s="377"/>
    <row r="876" ht="15.75" customHeight="1" s="377"/>
    <row r="877" ht="15.75" customHeight="1" s="377"/>
    <row r="878" ht="15.75" customHeight="1" s="377"/>
    <row r="879" ht="15.75" customHeight="1" s="377"/>
    <row r="880" ht="15.75" customHeight="1" s="377"/>
    <row r="881" ht="15.75" customHeight="1" s="377"/>
    <row r="882" ht="15.75" customHeight="1" s="377"/>
    <row r="883" ht="15.75" customHeight="1" s="377"/>
    <row r="884" ht="15.75" customHeight="1" s="377"/>
    <row r="885" ht="15.75" customHeight="1" s="377"/>
    <row r="886" ht="15.75" customHeight="1" s="377"/>
    <row r="887" ht="15.75" customHeight="1" s="377"/>
    <row r="888" ht="15.75" customHeight="1" s="377"/>
    <row r="889" ht="15.75" customHeight="1" s="377"/>
    <row r="890" ht="15.75" customHeight="1" s="377"/>
    <row r="891" ht="15.75" customHeight="1" s="377"/>
    <row r="892" ht="15.75" customHeight="1" s="377"/>
    <row r="893" ht="15.75" customHeight="1" s="377"/>
    <row r="894" ht="15.75" customHeight="1" s="377"/>
    <row r="895" ht="15.75" customHeight="1" s="377"/>
    <row r="896" ht="15.75" customHeight="1" s="377"/>
    <row r="897" ht="15.75" customHeight="1" s="377"/>
    <row r="898" ht="15.75" customHeight="1" s="377"/>
    <row r="899" ht="15.75" customHeight="1" s="377"/>
    <row r="900" ht="15.75" customHeight="1" s="377"/>
    <row r="901" ht="15.75" customHeight="1" s="377"/>
    <row r="902" ht="15.75" customHeight="1" s="377"/>
    <row r="903" ht="15.75" customHeight="1" s="377"/>
    <row r="904" ht="15.75" customHeight="1" s="377"/>
    <row r="905" ht="15.75" customHeight="1" s="377"/>
    <row r="906" ht="15.75" customHeight="1" s="377"/>
    <row r="907" ht="15.75" customHeight="1" s="377"/>
    <row r="908" ht="15.75" customHeight="1" s="377"/>
    <row r="909" ht="15.75" customHeight="1" s="377"/>
    <row r="910" ht="15.75" customHeight="1" s="377"/>
    <row r="911" ht="15.75" customHeight="1" s="377"/>
    <row r="912" ht="15.75" customHeight="1" s="377"/>
    <row r="913" ht="15.75" customHeight="1" s="377"/>
    <row r="914" ht="15.75" customHeight="1" s="377"/>
    <row r="915" ht="15.75" customHeight="1" s="377"/>
    <row r="916" ht="15.75" customHeight="1" s="377"/>
    <row r="917" ht="15.75" customHeight="1" s="377"/>
    <row r="918" ht="15.75" customHeight="1" s="377"/>
    <row r="919" ht="15.75" customHeight="1" s="377"/>
    <row r="920" ht="15.75" customHeight="1" s="377"/>
    <row r="921" ht="15.75" customHeight="1" s="377"/>
    <row r="922" ht="15.75" customHeight="1" s="377"/>
    <row r="923" ht="15.75" customHeight="1" s="377"/>
    <row r="924" ht="15.75" customHeight="1" s="377"/>
    <row r="925" ht="15.75" customHeight="1" s="377"/>
    <row r="926" ht="15.75" customHeight="1" s="377"/>
    <row r="927" ht="15.75" customHeight="1" s="377"/>
    <row r="928" ht="15.75" customHeight="1" s="377"/>
    <row r="929" ht="15.75" customHeight="1" s="377"/>
    <row r="930" ht="15.75" customHeight="1" s="377"/>
    <row r="931" ht="15.75" customHeight="1" s="377"/>
    <row r="932" ht="15.75" customHeight="1" s="377"/>
    <row r="933" ht="15.75" customHeight="1" s="377"/>
    <row r="934" ht="15.75" customHeight="1" s="377"/>
    <row r="935" ht="15.75" customHeight="1" s="377"/>
    <row r="936" ht="15.75" customHeight="1" s="377"/>
    <row r="937" ht="15.75" customHeight="1" s="377"/>
    <row r="938" ht="15.75" customHeight="1" s="377"/>
    <row r="939" ht="15.75" customHeight="1" s="377"/>
    <row r="940" ht="15.75" customHeight="1" s="377"/>
    <row r="941" ht="15.75" customHeight="1" s="377"/>
    <row r="942" ht="15.75" customHeight="1" s="377"/>
    <row r="943" ht="15.75" customHeight="1" s="377"/>
    <row r="944" ht="15.75" customHeight="1" s="377"/>
    <row r="945" ht="15.75" customHeight="1" s="377"/>
    <row r="946" ht="15.75" customHeight="1" s="377"/>
    <row r="947" ht="15.75" customHeight="1" s="377"/>
    <row r="948" ht="15.75" customHeight="1" s="377"/>
    <row r="949" ht="15.75" customHeight="1" s="377"/>
    <row r="950" ht="15.75" customHeight="1" s="377"/>
    <row r="951" ht="15.75" customHeight="1" s="377"/>
    <row r="952" ht="15.75" customHeight="1" s="377"/>
    <row r="953" ht="15.75" customHeight="1" s="377"/>
    <row r="954" ht="15.75" customHeight="1" s="377"/>
    <row r="955" ht="15.75" customHeight="1" s="377"/>
    <row r="956" ht="15.75" customHeight="1" s="377"/>
    <row r="957" ht="15.75" customHeight="1" s="377"/>
    <row r="958" ht="15.75" customHeight="1" s="377"/>
    <row r="959" ht="15.75" customHeight="1" s="377"/>
    <row r="960" ht="15.75" customHeight="1" s="377"/>
    <row r="961" ht="15.75" customHeight="1" s="377"/>
    <row r="962" ht="15.75" customHeight="1" s="377"/>
    <row r="963" ht="15.75" customHeight="1" s="377"/>
    <row r="964" ht="15.75" customHeight="1" s="377"/>
    <row r="965" ht="15.75" customHeight="1" s="377"/>
    <row r="966" ht="15.75" customHeight="1" s="377"/>
    <row r="967" ht="15.75" customHeight="1" s="377"/>
    <row r="968" ht="15.75" customHeight="1" s="377"/>
    <row r="969" ht="15.75" customHeight="1" s="377"/>
    <row r="970" ht="15.75" customHeight="1" s="377"/>
    <row r="971" ht="15.75" customHeight="1" s="377"/>
    <row r="972" ht="15.75" customHeight="1" s="377"/>
    <row r="973" ht="15.75" customHeight="1" s="377"/>
    <row r="974" ht="15.75" customHeight="1" s="377"/>
    <row r="975" ht="15.75" customHeight="1" s="377"/>
    <row r="976" ht="15.75" customHeight="1" s="377"/>
    <row r="977" ht="15.75" customHeight="1" s="377"/>
    <row r="978" ht="15.75" customHeight="1" s="377"/>
    <row r="979" ht="15.75" customHeight="1" s="377"/>
    <row r="980" ht="15.75" customHeight="1" s="377"/>
    <row r="981" ht="15.75" customHeight="1" s="377"/>
    <row r="982" ht="15.75" customHeight="1" s="377"/>
    <row r="983" ht="15.75" customHeight="1" s="377"/>
    <row r="984" ht="15.75" customHeight="1" s="377"/>
    <row r="985" ht="15.75" customHeight="1" s="377"/>
    <row r="986" ht="15.75" customHeight="1" s="377"/>
    <row r="987" ht="15.75" customHeight="1" s="377"/>
    <row r="988" ht="15.75" customHeight="1" s="377"/>
    <row r="989" ht="15.75" customHeight="1" s="377"/>
    <row r="990" ht="15.75" customHeight="1" s="377"/>
    <row r="991" ht="15.75" customHeight="1" s="377"/>
    <row r="992" ht="15.75" customHeight="1" s="377"/>
    <row r="993" ht="15.75" customHeight="1" s="377"/>
  </sheetData>
  <mergeCells count="13">
    <mergeCell ref="F31:F32"/>
    <mergeCell ref="D27:E27"/>
    <mergeCell ref="J62:K62"/>
    <mergeCell ref="C29:C30"/>
    <mergeCell ref="A29:A30"/>
    <mergeCell ref="D31:D32"/>
    <mergeCell ref="C31:C32"/>
    <mergeCell ref="G31:G32"/>
    <mergeCell ref="E31:E32"/>
    <mergeCell ref="B27:C27"/>
    <mergeCell ref="D29:D30"/>
    <mergeCell ref="B29:B30"/>
    <mergeCell ref="B31:B32"/>
  </mergeCells>
  <conditionalFormatting sqref="D2:D21 F2:F21 N2:N21 R2:R21 U2:U21">
    <cfRule type="cellIs" priority="10" operator="lessThan" dxfId="6">
      <formula>0</formula>
    </cfRule>
    <cfRule type="cellIs" priority="11" operator="greaterThan" dxfId="9">
      <formula>0</formula>
    </cfRule>
  </conditionalFormatting>
  <conditionalFormatting sqref="P3:P21">
    <cfRule type="cellIs" priority="8" operator="lessThan" dxfId="6">
      <formula>0</formula>
    </cfRule>
    <cfRule type="cellIs" priority="9" operator="greaterThan" dxfId="9">
      <formula>0</formula>
    </cfRule>
  </conditionalFormatting>
  <conditionalFormatting sqref="C70">
    <cfRule type="beginsWith" priority="12" operator="beginsWith" dxfId="1" text="Compensa">
      <formula>LEFT(C70,LEN("Compensa"))="Compensa"</formula>
    </cfRule>
    <cfRule type="beginsWith" priority="13" operator="beginsWith" dxfId="0" text="No compensa">
      <formula>LEFT(C70,LEN("No compensa"))="No compensa"</formula>
    </cfRule>
  </conditionalFormatting>
  <conditionalFormatting sqref="H96:H101">
    <cfRule type="beginsWith" priority="14" operator="beginsWith" dxfId="1" text="Compensa">
      <formula>LEFT(H96,LEN("Compensa"))="Compensa"</formula>
    </cfRule>
    <cfRule type="beginsWith" priority="15" operator="beginsWith" dxfId="0" text="No compensa">
      <formula>LEFT(H96,LEN("No compensa"))="No compensa"</formula>
    </cfRule>
  </conditionalFormatting>
  <conditionalFormatting sqref="C82:L82">
    <cfRule type="beginsWith" priority="16" operator="beginsWith" dxfId="1" text="Sí">
      <formula>LEFT(C82,LEN("Sí"))="Sí"</formula>
    </cfRule>
    <cfRule type="beginsWith" priority="17" operator="beginsWith" dxfId="0" text="No">
      <formula>LEFT(C82,LEN("No"))="No"</formula>
    </cfRule>
  </conditionalFormatting>
  <pageMargins left="0.7" right="0.7" top="0.75" bottom="0.75" header="0.511811023622047" footer="0.511811023622047"/>
  <pageSetup orientation="landscape"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176"/>
  <sheetViews>
    <sheetView showGridLines="0" zoomScaleNormal="100" workbookViewId="0">
      <pane xSplit="1" ySplit="3" topLeftCell="B91" activePane="bottomRight" state="frozen"/>
      <selection pane="topRight" activeCell="B1" sqref="B1"/>
      <selection pane="bottomLeft" activeCell="A4" sqref="A4"/>
      <selection pane="bottomRight" activeCell="C109" sqref="C109"/>
    </sheetView>
  </sheetViews>
  <sheetFormatPr baseColWidth="10" defaultColWidth="8.5703125" defaultRowHeight="15"/>
  <cols>
    <col width="54" customWidth="1" style="377" min="1" max="1"/>
    <col width="16" customWidth="1" style="377" min="2" max="2"/>
    <col width="28.140625" customWidth="1" style="377" min="3" max="3"/>
    <col width="23.85546875" customWidth="1" style="377" min="4" max="4"/>
    <col width="30.42578125" customWidth="1" style="377" min="5" max="5"/>
    <col width="27.5703125" customWidth="1" style="377" min="6" max="6"/>
    <col width="12" customWidth="1" style="377" min="7" max="13"/>
  </cols>
  <sheetData>
    <row r="1" ht="18.75" customHeight="1" s="377">
      <c r="A1" s="107" t="inlineStr">
        <is>
          <t>ADOBE (ADBE) · Escenarios y análisis de viabilidad</t>
        </is>
      </c>
    </row>
    <row r="2">
      <c r="A2" s="108" t="inlineStr">
        <is>
          <t>Proyección a 10 años en cuatro escenarios y análisis de viabilidad según «Parte II. El riesgo». Azul: datos que puedes cambiar. Verde: enlaces a otras hojas. Amarillo: resultados clave.</t>
        </is>
      </c>
    </row>
    <row r="4" ht="15.75" customHeight="1" s="377">
      <c r="A4" s="109" t="inlineStr">
        <is>
          <t>1. Parámetros del inversor</t>
        </is>
      </c>
      <c r="B4" s="110" t="n"/>
      <c r="C4" s="110" t="n"/>
      <c r="D4" s="110" t="n"/>
      <c r="E4" s="110" t="n"/>
      <c r="F4" s="110" t="n"/>
      <c r="G4" s="110" t="n"/>
      <c r="H4" s="110" t="n"/>
      <c r="I4" s="110" t="n"/>
      <c r="J4" s="110" t="n"/>
      <c r="K4" s="110" t="n"/>
      <c r="L4" s="110" t="n"/>
      <c r="M4" s="110" t="n"/>
    </row>
    <row r="5">
      <c r="A5" s="111" t="inlineStr">
        <is>
          <t>Precio actual (USD)</t>
        </is>
      </c>
      <c r="B5" s="493">
        <f>'Modelo EPS'!D25</f>
        <v/>
      </c>
      <c r="C5" s="108" t="inlineStr">
        <is>
          <t>Enlazado al precio actual del Modelo EPS.</t>
        </is>
      </c>
    </row>
    <row r="6">
      <c r="A6" s="111" t="inlineStr">
        <is>
          <t>Fecha del precio</t>
        </is>
      </c>
      <c r="B6" s="113" t="inlineStr">
        <is>
          <t>05-10-2026</t>
        </is>
      </c>
      <c r="C6" s="108" t="inlineStr">
        <is>
          <t>Cierre de Nasdaq.</t>
        </is>
      </c>
    </row>
    <row r="7">
      <c r="A7" s="111" t="inlineStr">
        <is>
          <t>Rentabilidad exigida r (coste de oportunidad)</t>
        </is>
      </c>
      <c r="B7" s="494" t="n">
        <v>0.1</v>
      </c>
      <c r="C7" s="108" t="inlineStr">
        <is>
          <t>Rentabilidad esperada de tu mejor alternativa, sin prima de riesgo: el riesgo va en los escenarios.</t>
        </is>
      </c>
    </row>
    <row r="8">
      <c r="A8" s="111" t="inlineStr">
        <is>
          <t>Horizonte n (años, de 1 a 10)</t>
        </is>
      </c>
      <c r="B8" s="115" t="n">
        <v>10</v>
      </c>
      <c r="C8" s="108" t="inlineStr">
        <is>
          <t>Plazo del test de cobertura.</t>
        </is>
      </c>
    </row>
    <row r="9">
      <c r="A9" s="111" t="inlineStr">
        <is>
          <t>Margen de seguridad exigido</t>
        </is>
      </c>
      <c r="B9" s="494" t="n">
        <v>0.15</v>
      </c>
      <c r="C9" s="108" t="inlineStr">
        <is>
          <t>Distancia mínima entre valor estimado y precio.</t>
        </is>
      </c>
    </row>
    <row r="10">
      <c r="A10" s="111" t="inlineStr">
        <is>
          <t>Crecimiento a largo plazo (PIB nominal)</t>
        </is>
      </c>
      <c r="B10" s="495" t="n">
        <v>0.04</v>
      </c>
      <c r="C10" s="108" t="inlineStr">
        <is>
          <t>Crecimiento de madurez para el escenario base y el PER justificado.</t>
        </is>
      </c>
    </row>
    <row r="11">
      <c r="A11" s="111" t="inlineStr">
        <is>
          <t>Años para llegar a los márgenes de cada escenario</t>
        </is>
      </c>
      <c r="B11" s="117" t="n">
        <v>5</v>
      </c>
      <c r="C11" s="108" t="inlineStr">
        <is>
          <t>Los márgenes pasan en línea recta del último real al del escenario.</t>
        </is>
      </c>
    </row>
    <row r="12">
      <c r="A12" s="111" t="inlineStr">
        <is>
          <t>BPA diluido del último ejercicio</t>
        </is>
      </c>
      <c r="B12" s="493">
        <f>PyG!M29</f>
        <v/>
      </c>
      <c r="C12" s="108" t="inlineStr">
        <is>
          <t>FY2025.</t>
        </is>
      </c>
    </row>
    <row r="13">
      <c r="A13" s="111" t="inlineStr">
        <is>
          <t>PER pagado (precio / BPA)</t>
        </is>
      </c>
      <c r="B13" s="496">
        <f>B5/B12</f>
        <v/>
      </c>
    </row>
    <row r="15" ht="15.75" customHeight="1" s="377">
      <c r="A15" s="109" t="inlineStr">
        <is>
          <t>2. Histórico y fase de la empresa</t>
        </is>
      </c>
      <c r="B15" s="110" t="n"/>
      <c r="C15" s="110" t="n"/>
      <c r="D15" s="110" t="n"/>
      <c r="E15" s="110" t="n"/>
      <c r="F15" s="110" t="n"/>
      <c r="G15" s="110" t="n"/>
      <c r="H15" s="110" t="n"/>
      <c r="I15" s="110" t="n"/>
      <c r="J15" s="110" t="n"/>
      <c r="K15" s="110" t="n"/>
      <c r="L15" s="110" t="n"/>
      <c r="M15" s="110" t="n"/>
    </row>
    <row r="16">
      <c r="A16" s="119" t="inlineStr">
        <is>
          <t>Ejercicio</t>
        </is>
      </c>
      <c r="B16" s="120" t="n"/>
      <c r="C16" s="120" t="n"/>
      <c r="D16" s="121" t="inlineStr">
        <is>
          <t>2016</t>
        </is>
      </c>
      <c r="E16" s="121" t="inlineStr">
        <is>
          <t>2017</t>
        </is>
      </c>
      <c r="F16" s="121" t="inlineStr">
        <is>
          <t>2018</t>
        </is>
      </c>
      <c r="G16" s="121" t="inlineStr">
        <is>
          <t>2019</t>
        </is>
      </c>
      <c r="H16" s="121" t="inlineStr">
        <is>
          <t>2020</t>
        </is>
      </c>
      <c r="I16" s="121" t="inlineStr">
        <is>
          <t>2021</t>
        </is>
      </c>
      <c r="J16" s="121" t="inlineStr">
        <is>
          <t>2022</t>
        </is>
      </c>
      <c r="K16" s="121" t="inlineStr">
        <is>
          <t>2023</t>
        </is>
      </c>
      <c r="L16" s="121" t="inlineStr">
        <is>
          <t>2024</t>
        </is>
      </c>
      <c r="M16" s="121" t="inlineStr">
        <is>
          <t>2025</t>
        </is>
      </c>
    </row>
    <row r="17">
      <c r="A17" s="111" t="inlineStr">
        <is>
          <t>Ventas (M$)</t>
        </is>
      </c>
      <c r="D17" s="497">
        <f>PyG!D8</f>
        <v/>
      </c>
      <c r="E17" s="497">
        <f>PyG!E8</f>
        <v/>
      </c>
      <c r="F17" s="497">
        <f>PyG!F8</f>
        <v/>
      </c>
      <c r="G17" s="497">
        <f>PyG!G8</f>
        <v/>
      </c>
      <c r="H17" s="497">
        <f>PyG!H8</f>
        <v/>
      </c>
      <c r="I17" s="497">
        <f>PyG!I8</f>
        <v/>
      </c>
      <c r="J17" s="497">
        <f>PyG!J8</f>
        <v/>
      </c>
      <c r="K17" s="497">
        <f>PyG!K8</f>
        <v/>
      </c>
      <c r="L17" s="497">
        <f>PyG!L8</f>
        <v/>
      </c>
      <c r="M17" s="497">
        <f>PyG!M8</f>
        <v/>
      </c>
    </row>
    <row r="18">
      <c r="A18" s="111" t="inlineStr">
        <is>
          <t>Crecimiento de ventas</t>
        </is>
      </c>
      <c r="E18" s="498">
        <f>E17/D17-1</f>
        <v/>
      </c>
      <c r="F18" s="498">
        <f>F17/E17-1</f>
        <v/>
      </c>
      <c r="G18" s="498">
        <f>G17/F17-1</f>
        <v/>
      </c>
      <c r="H18" s="498">
        <f>H17/G17-1</f>
        <v/>
      </c>
      <c r="I18" s="498">
        <f>I17/H17-1</f>
        <v/>
      </c>
      <c r="J18" s="498">
        <f>J17/I17-1</f>
        <v/>
      </c>
      <c r="K18" s="498">
        <f>K17/J17-1</f>
        <v/>
      </c>
      <c r="L18" s="498">
        <f>L17/K17-1</f>
        <v/>
      </c>
      <c r="M18" s="498">
        <f>M17/L17-1</f>
        <v/>
      </c>
    </row>
    <row r="19">
      <c r="A19" s="111" t="inlineStr">
        <is>
          <t>Margen bruto</t>
        </is>
      </c>
      <c r="D19" s="498">
        <f>PyG!D10/PyG!D8</f>
        <v/>
      </c>
      <c r="E19" s="498">
        <f>PyG!E10/PyG!E8</f>
        <v/>
      </c>
      <c r="F19" s="498">
        <f>PyG!F10/PyG!F8</f>
        <v/>
      </c>
      <c r="G19" s="498">
        <f>PyG!G10/PyG!G8</f>
        <v/>
      </c>
      <c r="H19" s="498">
        <f>PyG!H10/PyG!H8</f>
        <v/>
      </c>
      <c r="I19" s="498">
        <f>PyG!I10/PyG!I8</f>
        <v/>
      </c>
      <c r="J19" s="498">
        <f>PyG!J10/PyG!J8</f>
        <v/>
      </c>
      <c r="K19" s="498">
        <f>PyG!K10/PyG!K8</f>
        <v/>
      </c>
      <c r="L19" s="498">
        <f>PyG!L10/PyG!L8</f>
        <v/>
      </c>
      <c r="M19" s="498">
        <f>PyG!M10/PyG!M8</f>
        <v/>
      </c>
    </row>
    <row r="20">
      <c r="A20" s="111" t="inlineStr">
        <is>
          <t>Margen operativo</t>
        </is>
      </c>
      <c r="D20" s="498">
        <f>PyG!D15/PyG!D8</f>
        <v/>
      </c>
      <c r="E20" s="498">
        <f>PyG!E15/PyG!E8</f>
        <v/>
      </c>
      <c r="F20" s="498">
        <f>PyG!F15/PyG!F8</f>
        <v/>
      </c>
      <c r="G20" s="498">
        <f>PyG!G15/PyG!G8</f>
        <v/>
      </c>
      <c r="H20" s="498">
        <f>PyG!H15/PyG!H8</f>
        <v/>
      </c>
      <c r="I20" s="498">
        <f>PyG!I15/PyG!I8</f>
        <v/>
      </c>
      <c r="J20" s="498">
        <f>PyG!J15/PyG!J8</f>
        <v/>
      </c>
      <c r="K20" s="498">
        <f>PyG!K15/PyG!K8</f>
        <v/>
      </c>
      <c r="L20" s="498">
        <f>PyG!L15/PyG!L8</f>
        <v/>
      </c>
      <c r="M20" s="498">
        <f>PyG!M15/PyG!M8</f>
        <v/>
      </c>
    </row>
    <row r="21">
      <c r="A21" s="111" t="inlineStr">
        <is>
          <t>Margen neto</t>
        </is>
      </c>
      <c r="D21" s="498">
        <f>PyG!D23/PyG!D8</f>
        <v/>
      </c>
      <c r="E21" s="498">
        <f>PyG!E23/PyG!E8</f>
        <v/>
      </c>
      <c r="F21" s="498">
        <f>PyG!F23/PyG!F8</f>
        <v/>
      </c>
      <c r="G21" s="498">
        <f>PyG!G23/PyG!G8</f>
        <v/>
      </c>
      <c r="H21" s="498">
        <f>PyG!H23/PyG!H8</f>
        <v/>
      </c>
      <c r="I21" s="498">
        <f>PyG!I23/PyG!I8</f>
        <v/>
      </c>
      <c r="J21" s="498">
        <f>PyG!J23/PyG!J8</f>
        <v/>
      </c>
      <c r="K21" s="498">
        <f>PyG!K23/PyG!K8</f>
        <v/>
      </c>
      <c r="L21" s="498">
        <f>PyG!L23/PyG!L8</f>
        <v/>
      </c>
      <c r="M21" s="498">
        <f>PyG!M23/PyG!M8</f>
        <v/>
      </c>
    </row>
    <row r="22">
      <c r="A22" s="111" t="inlineStr">
        <is>
          <t>ROE (beneficio / patrimonio)</t>
        </is>
      </c>
      <c r="D22" s="498">
        <f>PyG!D23/Balance!D26</f>
        <v/>
      </c>
      <c r="E22" s="498">
        <f>PyG!E23/Balance!E26</f>
        <v/>
      </c>
      <c r="F22" s="498">
        <f>PyG!F23/Balance!F26</f>
        <v/>
      </c>
      <c r="G22" s="498">
        <f>PyG!G23/Balance!G26</f>
        <v/>
      </c>
      <c r="H22" s="498">
        <f>PyG!H23/Balance!H26</f>
        <v/>
      </c>
      <c r="I22" s="498">
        <f>PyG!I23/Balance!I26</f>
        <v/>
      </c>
      <c r="J22" s="498">
        <f>PyG!J23/Balance!J26</f>
        <v/>
      </c>
      <c r="K22" s="498">
        <f>PyG!K23/Balance!K26</f>
        <v/>
      </c>
      <c r="L22" s="498">
        <f>PyG!L23/Balance!L26</f>
        <v/>
      </c>
      <c r="M22" s="498">
        <f>PyG!M23/Balance!M26</f>
        <v/>
      </c>
    </row>
    <row r="23">
      <c r="A23" s="111" t="inlineStr">
        <is>
          <t>Acciones diluidas (M)</t>
        </is>
      </c>
      <c r="D23" s="124">
        <f>PyG!D27</f>
        <v/>
      </c>
      <c r="E23" s="124">
        <f>PyG!E27</f>
        <v/>
      </c>
      <c r="F23" s="124">
        <f>PyG!F27</f>
        <v/>
      </c>
      <c r="G23" s="124">
        <f>PyG!G27</f>
        <v/>
      </c>
      <c r="H23" s="124">
        <f>PyG!H27</f>
        <v/>
      </c>
      <c r="I23" s="124">
        <f>PyG!I27</f>
        <v/>
      </c>
      <c r="J23" s="124">
        <f>PyG!J27</f>
        <v/>
      </c>
      <c r="K23" s="124">
        <f>PyG!K27</f>
        <v/>
      </c>
      <c r="L23" s="124">
        <f>PyG!L27</f>
        <v/>
      </c>
      <c r="M23" s="124">
        <f>PyG!M27</f>
        <v/>
      </c>
    </row>
    <row r="24">
      <c r="A24" s="111" t="inlineStr">
        <is>
          <t>BPA diluido</t>
        </is>
      </c>
      <c r="D24" s="493">
        <f>PyG!D29</f>
        <v/>
      </c>
      <c r="E24" s="493">
        <f>PyG!E29</f>
        <v/>
      </c>
      <c r="F24" s="493">
        <f>PyG!F29</f>
        <v/>
      </c>
      <c r="G24" s="493">
        <f>PyG!G29</f>
        <v/>
      </c>
      <c r="H24" s="493">
        <f>PyG!H29</f>
        <v/>
      </c>
      <c r="I24" s="493">
        <f>PyG!I29</f>
        <v/>
      </c>
      <c r="J24" s="493">
        <f>PyG!J29</f>
        <v/>
      </c>
      <c r="K24" s="493">
        <f>PyG!K29</f>
        <v/>
      </c>
      <c r="L24" s="493">
        <f>PyG!L29</f>
        <v/>
      </c>
      <c r="M24" s="493">
        <f>PyG!M29</f>
        <v/>
      </c>
    </row>
    <row r="25">
      <c r="A25" s="111" t="inlineStr">
        <is>
          <t>PER (precio medio del ejercicio / BPA)</t>
        </is>
      </c>
      <c r="D25" s="499">
        <f>'Modelo EPS'!H2</f>
        <v/>
      </c>
      <c r="E25" s="499">
        <f>'Modelo EPS'!H3</f>
        <v/>
      </c>
      <c r="F25" s="499">
        <f>'Modelo EPS'!H4</f>
        <v/>
      </c>
      <c r="G25" s="499">
        <f>'Modelo EPS'!H5</f>
        <v/>
      </c>
      <c r="H25" s="499">
        <f>'Modelo EPS'!H6</f>
        <v/>
      </c>
      <c r="I25" s="499">
        <f>'Modelo EPS'!H7</f>
        <v/>
      </c>
      <c r="J25" s="499">
        <f>'Modelo EPS'!H8</f>
        <v/>
      </c>
      <c r="K25" s="499">
        <f>'Modelo EPS'!H9</f>
        <v/>
      </c>
      <c r="L25" s="499">
        <f>'Modelo EPS'!H10</f>
        <v/>
      </c>
      <c r="M25" s="499">
        <f>'Modelo EPS'!H11</f>
        <v/>
      </c>
    </row>
    <row r="27">
      <c r="A27" s="111" t="inlineStr">
        <is>
          <t>Crecimiento anual de ventas, últimos 3 años</t>
        </is>
      </c>
      <c r="B27" s="498">
        <f>(M17/J17)^(1/3)-1</f>
        <v/>
      </c>
      <c r="C27" s="108" t="inlineStr">
        <is>
          <t>g3: ritmo reciente.</t>
        </is>
      </c>
    </row>
    <row r="28">
      <c r="A28" s="111" t="inlineStr">
        <is>
          <t>Crecimiento anual de ventas, últimos 5 años</t>
        </is>
      </c>
      <c r="B28" s="498">
        <f>(M17/H17)^(1/5)-1</f>
        <v/>
      </c>
    </row>
    <row r="29">
      <c r="A29" s="111" t="inlineStr">
        <is>
          <t>Crecimiento anual de ventas, 2016-2025</t>
        </is>
      </c>
      <c r="B29" s="498">
        <f>(M17/D17)^(1/9)-1</f>
        <v/>
      </c>
      <c r="C29" s="108" t="inlineStr">
        <is>
          <t>g9: ritmo de largo plazo.</t>
        </is>
      </c>
    </row>
    <row r="30">
      <c r="A30" s="111" t="inlineStr">
        <is>
          <t>Años con caída de ventas (últimos 9)</t>
        </is>
      </c>
      <c r="B30" s="126">
        <f>COUNTIF(E18:M18,"&lt;0")</f>
        <v/>
      </c>
    </row>
    <row r="31">
      <c r="A31" s="111" t="inlineStr">
        <is>
          <t>Margen bruto del último año</t>
        </is>
      </c>
      <c r="B31" s="498">
        <f>M19</f>
        <v/>
      </c>
    </row>
    <row r="32">
      <c r="A32" s="111" t="inlineStr">
        <is>
          <t>Margen bruto medio 5 años</t>
        </is>
      </c>
      <c r="B32" s="500">
        <f>SUM(PyG!I10:M10)/SUM(PyG!I8:M8)</f>
        <v/>
      </c>
    </row>
    <row r="33">
      <c r="A33" s="111" t="inlineStr">
        <is>
          <t>Margen bruto medio 10 años</t>
        </is>
      </c>
      <c r="B33" s="500">
        <f>SUM(PyG!D10:M10)/SUM(PyG!D8:M8)</f>
        <v/>
      </c>
    </row>
    <row r="34">
      <c r="A34" s="111" t="inlineStr">
        <is>
          <t>Margen bruto mínimo 10 años</t>
        </is>
      </c>
      <c r="B34" s="498">
        <f>MIN(D19:M19)</f>
        <v/>
      </c>
    </row>
    <row r="35">
      <c r="A35" s="111" t="inlineStr">
        <is>
          <t>Margen bruto máximo 10 años</t>
        </is>
      </c>
      <c r="B35" s="498">
        <f>MAX(D19:M19)</f>
        <v/>
      </c>
    </row>
    <row r="36">
      <c r="A36" s="111" t="inlineStr">
        <is>
          <t>Margen operativo del último año</t>
        </is>
      </c>
      <c r="B36" s="498">
        <f>M20</f>
        <v/>
      </c>
    </row>
    <row r="37">
      <c r="A37" s="111" t="inlineStr">
        <is>
          <t>Margen operativo medio 5 años</t>
        </is>
      </c>
      <c r="B37" s="500">
        <f>SUM(PyG!I15:M15)/SUM(PyG!I8:M8)</f>
        <v/>
      </c>
    </row>
    <row r="38">
      <c r="A38" s="111" t="inlineStr">
        <is>
          <t>Margen operativo medio 10 años</t>
        </is>
      </c>
      <c r="B38" s="500">
        <f>SUM(PyG!D15:M15)/SUM(PyG!D8:M8)</f>
        <v/>
      </c>
    </row>
    <row r="39">
      <c r="A39" s="111" t="inlineStr">
        <is>
          <t>Margen operativo mínimo 10 años</t>
        </is>
      </c>
      <c r="B39" s="498">
        <f>MIN(D20:M20)</f>
        <v/>
      </c>
    </row>
    <row r="40">
      <c r="A40" s="111" t="inlineStr">
        <is>
          <t>Margen operativo máximo 10 años</t>
        </is>
      </c>
      <c r="B40" s="498">
        <f>MAX(D20:M20)</f>
        <v/>
      </c>
    </row>
    <row r="41">
      <c r="A41" s="111" t="inlineStr">
        <is>
          <t>ROE medio 5 años</t>
        </is>
      </c>
      <c r="B41" s="498">
        <f>AVERAGE(I22:M22)</f>
        <v/>
      </c>
      <c r="C41" s="108" t="inlineStr">
        <is>
          <t>Rentabilidad del capital para el PER justificado.</t>
        </is>
      </c>
    </row>
    <row r="42">
      <c r="A42" s="111" t="inlineStr">
        <is>
          <t>Variación anual de acciones, últimos 5 años</t>
        </is>
      </c>
      <c r="B42" s="128">
        <f>(M23/H23)^(1/5)-1</f>
        <v/>
      </c>
      <c r="C42" s="108" t="inlineStr">
        <is>
          <t>Negativo = recompra neta.</t>
        </is>
      </c>
    </row>
    <row r="43">
      <c r="A43" s="111" t="inlineStr">
        <is>
          <t>Recompras / flujo de caja libre, 5 años</t>
        </is>
      </c>
      <c r="B43" s="500">
        <f>MIN(MAX(-SUM('Cash Flow'!I27:M27)/(SUM('Cash Flow'!I15:M15)+SUM('Cash Flow'!I16:M16)),0),1.2)</f>
        <v/>
      </c>
      <c r="C43" s="108" t="inlineStr">
        <is>
          <t>Parte del flujo de caja libre que se ha destinado a recomprar acciones.</t>
        </is>
      </c>
    </row>
    <row r="44">
      <c r="A44" s="111" t="inlineStr">
        <is>
          <t>Payout medio 5 años (dividendos / beneficio)</t>
        </is>
      </c>
      <c r="B44" s="500">
        <f>IFERROR(MAX(-SUM('Cash Flow'!I29:M29),0)/SUM(PyG!I23:M23),0)</f>
        <v/>
      </c>
    </row>
    <row r="45">
      <c r="A45" s="111" t="inlineStr">
        <is>
          <t>Tipo impositivo medio 5 años</t>
        </is>
      </c>
      <c r="B45" s="500">
        <f>MIN(MAX(SUM(PyG!I18:M18)/SUM(PyG!I17:M17),0),0.35)</f>
        <v/>
      </c>
    </row>
    <row r="46">
      <c r="A46" s="111" t="inlineStr">
        <is>
          <t>Resultado no operativo / ventas, 5 años</t>
        </is>
      </c>
      <c r="B46" s="129">
        <f>SUM(PyG!I16:M16)/SUM(PyG!I8:M8)</f>
        <v/>
      </c>
    </row>
    <row r="47">
      <c r="A47" s="111" t="inlineStr">
        <is>
          <t>Amortizaciones / ventas, 5 años</t>
        </is>
      </c>
      <c r="B47" s="129">
        <f>SUM('Cash Flow'!I7:M7)/SUM(PyG!I8:M8)</f>
        <v/>
      </c>
    </row>
    <row r="48">
      <c r="A48" s="111" t="inlineStr">
        <is>
          <t>Capex / ventas, 5 años</t>
        </is>
      </c>
      <c r="B48" s="129">
        <f>-SUM('Cash Flow'!I16:M16)/SUM(PyG!I8:M8)</f>
        <v/>
      </c>
    </row>
    <row r="49">
      <c r="A49" s="111" t="inlineStr">
        <is>
          <t>Remuneración en acciones / ventas, 5 años</t>
        </is>
      </c>
      <c r="B49" s="129">
        <f>SUM('Cash Flow'!I33:M33)/SUM(PyG!I8:M8)</f>
        <v/>
      </c>
    </row>
    <row r="50">
      <c r="A50" s="111" t="inlineStr">
        <is>
          <t>I+D / gastos operativos, 5 años</t>
        </is>
      </c>
      <c r="B50" s="500">
        <f>SUM(PyG!I11:M11)/SUM(PyG!I14:M14)</f>
        <v/>
      </c>
    </row>
    <row r="51">
      <c r="A51" s="111" t="inlineStr">
        <is>
          <t>Activo circulante operativo / ventas (último año)</t>
        </is>
      </c>
      <c r="B51" s="500">
        <f>(Balance!M6+Balance!M7+Balance!M8+Balance!M9)/PyG!M8</f>
        <v/>
      </c>
      <c r="C51" s="108" t="inlineStr">
        <is>
          <t>Clientes, existencias y otros, sin la caja.</t>
        </is>
      </c>
    </row>
    <row r="52">
      <c r="A52" s="111" t="inlineStr">
        <is>
          <t>Pasivo circulante / ventas (último año)</t>
        </is>
      </c>
      <c r="B52" s="500">
        <f>Balance!M17/PyG!M8</f>
        <v/>
      </c>
    </row>
    <row r="53">
      <c r="A53" s="111" t="inlineStr">
        <is>
          <t>¿Señales de ciclicidad?</t>
        </is>
      </c>
      <c r="B53" s="111">
        <f>IF(AND($B$30&gt;=2,$B$40-$B$39&gt;=0.15),"Sí","No")</f>
        <v/>
      </c>
      <c r="C53" s="108" t="inlineStr">
        <is>
          <t>Dos o más años de caída de ventas y 15 puntos o más entre el mejor y el peor margen operativo.</t>
        </is>
      </c>
    </row>
    <row r="54">
      <c r="A54" s="111" t="inlineStr">
        <is>
          <t>¿Señales de recuperación?</t>
        </is>
      </c>
      <c r="B54" s="111">
        <f>IF(AND($B$38&gt;0.05,$B$36&lt;0.5*$B$38),"Sí","No")</f>
        <v/>
      </c>
      <c r="C54" s="108" t="inlineStr">
        <is>
          <t>Margen operativo actual por debajo de la mitad de su media de 10 años.</t>
        </is>
      </c>
    </row>
    <row r="55">
      <c r="A55" s="130" t="inlineStr">
        <is>
          <t>Fase propuesta</t>
        </is>
      </c>
      <c r="B55" s="130">
        <f>IF($B$54="Sí","Recuperación",IF($B$53="Sí","Cíclica",IF($B$27&gt;=0.15,"Crecimiento",IF($B$27&gt;=0.05,"Madurez",IF($B$27&gt;=-0.02,"Estancamiento","Declive")))))</f>
        <v/>
      </c>
      <c r="C55" s="108" t="inlineStr">
        <is>
          <t>Por el crecimiento de 3 años: crecimiento ≥15%; madurez 5-15%; estancamiento −2% a 5%; declive &lt; −2%.</t>
        </is>
      </c>
    </row>
    <row r="56">
      <c r="A56" s="130" t="inlineStr">
        <is>
          <t>Fase usada (elige otra en el desplegable si no estás de acuerdo)</t>
        </is>
      </c>
      <c r="B56" s="131">
        <f>B55</f>
        <v/>
      </c>
      <c r="C56" s="108" t="inlineStr">
        <is>
          <t>Por defecto sigue la propuesta. De la fase salen los supuestos de abajo.</t>
        </is>
      </c>
    </row>
    <row r="58" ht="15.75" customHeight="1" s="377">
      <c r="A58" s="109" t="inlineStr">
        <is>
          <t>3. Escenarios</t>
        </is>
      </c>
      <c r="B58" s="110" t="n"/>
      <c r="C58" s="110" t="n"/>
      <c r="D58" s="110" t="n"/>
      <c r="E58" s="110" t="n"/>
      <c r="F58" s="110" t="n"/>
      <c r="G58" s="110" t="n"/>
      <c r="H58" s="110" t="n"/>
      <c r="I58" s="110" t="n"/>
      <c r="J58" s="110" t="n"/>
      <c r="K58" s="110" t="n"/>
      <c r="L58" s="110" t="n"/>
      <c r="M58" s="110" t="n"/>
    </row>
    <row r="59">
      <c r="A59" s="119" t="inlineStr">
        <is>
          <t>Propuesta según la fase</t>
        </is>
      </c>
      <c r="B59" s="120" t="n"/>
      <c r="C59" s="121" t="inlineStr">
        <is>
          <t>Optimista</t>
        </is>
      </c>
      <c r="D59" s="121" t="inlineStr">
        <is>
          <t>Base</t>
        </is>
      </c>
      <c r="E59" s="121" t="inlineStr">
        <is>
          <t>Adverso</t>
        </is>
      </c>
      <c r="F59" s="121" t="inlineStr">
        <is>
          <t>Desastre</t>
        </is>
      </c>
    </row>
    <row r="60">
      <c r="A60" s="111" t="inlineStr">
        <is>
          <t>Crecimiento de ventas en el año 1</t>
        </is>
      </c>
      <c r="C60" s="498">
        <f>CHOOSE(MATCH($B$56,Listas!$H$2:$H$7,0),$B$27,$B$27,MAX($B$27,0),0,$B$29,$B$29)</f>
        <v/>
      </c>
      <c r="D60" s="498">
        <f>CHOOSE(MATCH($B$56,Listas!$H$2:$H$7,0),$B$27,$B$27,0,$B$27,$B$29/2,$B$29/2)</f>
        <v/>
      </c>
      <c r="E60" s="498">
        <f>CHOOSE(MATCH($B$56,Listas!$H$2:$H$7,0),$B$27/2,$B$27/2,-0.03,$B$27,0,0)</f>
        <v/>
      </c>
      <c r="F60" s="498">
        <f>CHOOSE(MATCH($B$56,Listas!$H$2:$H$7,0),0,-0.03,-0.08,2*$B$27,-0.05,-0.05)</f>
        <v/>
      </c>
    </row>
    <row r="61">
      <c r="A61" s="111" t="inlineStr">
        <is>
          <t>Crecimiento de ventas en el año 10</t>
        </is>
      </c>
      <c r="C61" s="498">
        <f>CHOOSE(MATCH($B$56,Listas!$H$2:$H$7,0),$B$27,$B$27,MAX($B$27,0),0,$B$29,$B$29)</f>
        <v/>
      </c>
      <c r="D61" s="498">
        <f>CHOOSE(MATCH($B$56,Listas!$H$2:$H$7,0),$B$27/2,$B$10,0,$B$27/2,$B$29/2,$B$29/2)</f>
        <v/>
      </c>
      <c r="E61" s="498">
        <f>CHOOSE(MATCH($B$56,Listas!$H$2:$H$7,0),0,0,-0.03,$B$27,0,0)</f>
        <v/>
      </c>
      <c r="F61" s="498">
        <f>CHOOSE(MATCH($B$56,Listas!$H$2:$H$7,0),-0.05,-0.03,-0.08,2*$B$27,-0.05,-0.05)</f>
        <v/>
      </c>
    </row>
    <row r="62">
      <c r="A62" s="111" t="inlineStr">
        <is>
          <t>Margen bruto</t>
        </is>
      </c>
      <c r="C62" s="498">
        <f>CHOOSE(MATCH($B$56,Listas!$H$2:$H$7,0),$B$31,$B$31,$B$31,$B$31,$B$35,$B$33)</f>
        <v/>
      </c>
      <c r="D62" s="498">
        <f>CHOOSE(MATCH($B$56,Listas!$H$2:$H$7,0),$B$32,$B$32,$B$32,$B$32,$B$33,($B$31+$B$33)/2)</f>
        <v/>
      </c>
      <c r="E62" s="498">
        <f>CHOOSE(MATCH($B$56,Listas!$H$2:$H$7,0),$B$34,$B$34,$B$34,$B$34,$B$34,$B$31)</f>
        <v/>
      </c>
      <c r="F62" s="498">
        <f>CHOOSE(MATCH($B$56,Listas!$H$2:$H$7,0),$B$34-0.05,$B$34-0.05,$B$34-0.05,$B$34-0.05,$B$34-0.05,$B$31-0.05)</f>
        <v/>
      </c>
    </row>
    <row r="63">
      <c r="A63" s="111" t="inlineStr">
        <is>
          <t>Margen operativo</t>
        </is>
      </c>
      <c r="C63" s="498">
        <f>CHOOSE(MATCH($B$56,Listas!$H$2:$H$7,0),$B$36,$B$36,$B$36,$B$36,$B$40,$B$38)</f>
        <v/>
      </c>
      <c r="D63" s="498">
        <f>CHOOSE(MATCH($B$56,Listas!$H$2:$H$7,0),$B$37,$B$37,$B$37,$B$37,$B$38,($B$36+$B$38)/2)</f>
        <v/>
      </c>
      <c r="E63" s="498">
        <f>CHOOSE(MATCH($B$56,Listas!$H$2:$H$7,0),$B$39,$B$39,$B$39,$B$39,$B$39,$B$36)</f>
        <v/>
      </c>
      <c r="F63" s="498">
        <f>CHOOSE(MATCH($B$56,Listas!$H$2:$H$7,0),MIN(0.5*$B$39,$B$39-0.05),MIN(0.5*$B$39,$B$39-0.05),MIN(0.5*$B$39,$B$39-0.05),MIN(0.5*$B$39,$B$39-0.05),MIN(0.5*$B$39,$B$39-0.05),MIN(0.5*$B$36,$B$36-0.05))</f>
        <v/>
      </c>
    </row>
    <row r="64">
      <c r="A64" s="111" t="inlineStr">
        <is>
          <t>Recompras (% del flujo de caja libre)</t>
        </is>
      </c>
      <c r="C64" s="498">
        <f>$B$43</f>
        <v/>
      </c>
      <c r="D64" s="498">
        <f>$B$43</f>
        <v/>
      </c>
      <c r="E64" s="498">
        <f>$B$43/2</f>
        <v/>
      </c>
      <c r="F64" s="498">
        <f>0</f>
        <v/>
      </c>
    </row>
    <row r="65">
      <c r="A65" s="111" t="inlineStr">
        <is>
          <t>PER de salida (justificado por fundamentales)</t>
        </is>
      </c>
      <c r="C65" s="496">
        <f>MAX(5,(1-MIN(C73,$B$7-0.03)/MAX($B$41,$B$7+0.01))*(1+MIN(C73,$B$7-0.03))/($B$7-MIN(C73,$B$7-0.03)))</f>
        <v/>
      </c>
      <c r="D65" s="496">
        <f>MAX(5,(1-MIN(D73,$B$7-0.03)/MAX($B$41,$B$7+0.01))*(1+MIN(D73,$B$7-0.03))/($B$7-MIN(D73,$B$7-0.03)))</f>
        <v/>
      </c>
      <c r="E65" s="496">
        <f>MAX(5,(1-MIN(E73,$B$7-0.03)/MAX($B$41,$B$7+0.01))*(1+MIN(E73,$B$7-0.03))/($B$7-MIN(E73,$B$7-0.03)))</f>
        <v/>
      </c>
      <c r="F65" s="496">
        <f>MAX(5,(1-MIN(F73,$B$7-0.03)/MAX($B$41,$B$7+0.01))*(1+MIN(F73,$B$7-0.03))/($B$7-MIN(F73,$B$7-0.03)))</f>
        <v/>
      </c>
      <c r="G65" s="108" t="inlineStr">
        <is>
          <t>Ver nota</t>
        </is>
      </c>
    </row>
    <row r="66">
      <c r="A66" s="111" t="inlineStr">
        <is>
          <t>Probabilidad</t>
        </is>
      </c>
      <c r="C66" s="498">
        <f>CHOOSE(MATCH($B$56,Listas!$H$2:$H$7,0),0.2,0.2,0.15,0.1,0.2,0.25)</f>
        <v/>
      </c>
      <c r="D66" s="498">
        <f>CHOOSE(MATCH($B$56,Listas!$H$2:$H$7,0),0.45,0.5,0.5,0.4,0.4,0.35)</f>
        <v/>
      </c>
      <c r="E66" s="498">
        <f>CHOOSE(MATCH($B$56,Listas!$H$2:$H$7,0),0.25,0.25,0.25,0.35,0.3,0.25)</f>
        <v/>
      </c>
      <c r="F66" s="498">
        <f>CHOOSE(MATCH($B$56,Listas!$H$2:$H$7,0),0.1,0.05,0.1,0.15,0.1,0.15)</f>
        <v/>
      </c>
    </row>
    <row r="67" ht="66" customHeight="1" s="377">
      <c r="A67" s="219" t="inlineStr">
        <is>
          <t>Lógica de crecimiento seguida</t>
        </is>
      </c>
      <c r="C67" s="501">
        <f>CHOOSE(MATCH($B$56,Listas!$H$2:$H$7,0),"Crece al ritmo de los últimos 3 años (g3), constante durante los 10 años.","Crece al ritmo de los últimos 3 años (g3), constante durante los 10 años.","Mantiene el crecimiento actual (g3 si es positivo; si no, 0%).","El crecimiento se estabiliza en 0% tras la caída.","Crece al ritmo de largo plazo 2016-2025 (g9).","Crece al ritmo de largo plazo 2016-2025 (g9).")</f>
        <v/>
      </c>
      <c r="D67" s="501">
        <f>CHOOSE(MATCH($B$56,Listas!$H$2:$H$7,0),"El crecimiento converge de g3 a la mitad (g3/2) en 10 años.","El crecimiento converge de g3 al crecimiento del PIB a largo plazo.","Las ventas dejan de crecer (0%).","El crecimiento se recupera de g3 a g3/2.","Crece a la mitad del ritmo de largo plazo (g9/2).","Crece a la mitad del ritmo de largo plazo (g9/2).")</f>
        <v/>
      </c>
      <c r="E67" s="501">
        <f>CHOOSE(MATCH($B$56,Listas!$H$2:$H$7,0),"El crecimiento cae de la mitad (g3/2) a 0%.","El crecimiento cae de la mitad (g3/2) a 0%.","Las ventas caen un 3% anual.","El crecimiento vuelve al ritmo actual (g3), sin recuperarse del todo.","Las ventas se estancan (0% de crecimiento).","Las ventas se estancan (0% de crecimiento).")</f>
        <v/>
      </c>
      <c r="F67" s="501">
        <f>CHOOSE(MATCH($B$56,Listas!$H$2:$H$7,0),"El crecimiento cae de 0% a −5% anual.","Las ventas caen un 3% anual de forma sostenida.","Las ventas caen un 8% anual (contracción severa).","El crecimiento cae el doble que en el escenario base (2×g3, muy negativo).","Las ventas caen un 5% anual.","Las ventas caen un 5% anual.")</f>
        <v/>
      </c>
    </row>
    <row r="68" ht="104.25" customHeight="1" s="377">
      <c r="A68" s="219" t="inlineStr">
        <is>
          <t>Lógica de márgenes seguida</t>
        </is>
      </c>
      <c r="C68" s="501">
        <f>CHOOSE(MATCH($B$56,Listas!$H$2:$H$7,0),"Mantiene el margen bruto y operativo del último año real.","Mantiene el margen bruto y operativo del último año real.","Mantiene el margen bruto y operativo del último año real.","Mantiene el margen bruto y operativo del último año real.","Usa el margen máximo (pico) de los últimos 10 años.","Usa la media de márgenes de los últimos 10 años.")</f>
        <v/>
      </c>
      <c r="D68" s="501">
        <f>CHOOSE(MATCH($B$56,Listas!$H$2:$H$7,0),"Usa la media de márgenes de los últimos 5 años.","Usa la media de márgenes de los últimos 5 años.","Usa la media de márgenes de los últimos 5 años.","Usa la media de márgenes de los últimos 5 años.","Usa la media de márgenes de los últimos 10 años.","Llega a medio camino entre el margen actual y la media de 10 años.")</f>
        <v/>
      </c>
      <c r="E68" s="501">
        <f>CHOOSE(MATCH($B$56,Listas!$H$2:$H$7,0),"Usa el peor margen de los últimos 10 años.","Usa el peor margen de los últimos 10 años.","Usa el peor margen de los últimos 10 años.","Usa el peor margen de los últimos 10 años.","Usa el margen mínimo (suelo) de los últimos 10 años.","Se mantiene en el margen actual (no mejora).")</f>
        <v/>
      </c>
      <c r="F68" s="501">
        <f>"Usa la mitad del peor margen operativo de los últimos 10 años (5 puntos menos de margen bruto y operativo que en el escenario adverso)."</f>
        <v/>
      </c>
    </row>
    <row r="69" ht="45" customHeight="1" s="377">
      <c r="A69" s="219" t="inlineStr">
        <is>
          <t>Lógica de recompras seguida</t>
        </is>
      </c>
      <c r="C69" s="501">
        <f>CHOOSE(MATCH($B$56,Listas!$H$2:$H$7,0),"Destina a recompras la misma parte del flujo de caja libre que en los últimos 5 años.","Destina a recompras la misma parte del flujo de caja libre que en los últimos 5 años.","Destina a recompras la misma parte del flujo de caja libre que en los últimos 5 años.","Destina a recompras la misma parte del flujo de caja libre que en los últimos 5 años.","Destina a recompras la misma parte del flujo de caja libre que en los últimos 5 años.","Destina a recompras la misma parte del flujo de caja libre que en los últimos 5 años.")</f>
        <v/>
      </c>
      <c r="D69" s="501">
        <f>C69</f>
        <v/>
      </c>
      <c r="E69" s="501">
        <f>"Destina a recompras solo la mitad de lo habitual (la otra mitad se retiene como colchón de caja)."</f>
        <v/>
      </c>
      <c r="F69" s="501">
        <f>"No recompra nada: las acciones crecen por la remuneración en acciones, sin compensarla."</f>
        <v/>
      </c>
    </row>
    <row r="71">
      <c r="A71" s="119" t="inlineStr">
        <is>
          <t>Supuestos usados (puedes escribir encima de cualquier celda)</t>
        </is>
      </c>
      <c r="B71" s="120" t="n"/>
      <c r="C71" s="121" t="inlineStr">
        <is>
          <t>Optimista</t>
        </is>
      </c>
      <c r="D71" s="121" t="inlineStr">
        <is>
          <t>Base</t>
        </is>
      </c>
      <c r="E71" s="121" t="inlineStr">
        <is>
          <t>Adverso</t>
        </is>
      </c>
      <c r="F71" s="121" t="inlineStr">
        <is>
          <t>Desastre</t>
        </is>
      </c>
    </row>
    <row r="72">
      <c r="A72" s="111" t="inlineStr">
        <is>
          <t>Crecimiento de ventas en el año 1</t>
        </is>
      </c>
      <c r="C72" s="502">
        <f>C60</f>
        <v/>
      </c>
      <c r="D72" s="502">
        <f>D60</f>
        <v/>
      </c>
      <c r="E72" s="502">
        <f>E60</f>
        <v/>
      </c>
      <c r="F72" s="502">
        <f>F60</f>
        <v/>
      </c>
    </row>
    <row r="73">
      <c r="A73" s="111" t="inlineStr">
        <is>
          <t>Crecimiento de ventas en el año 10</t>
        </is>
      </c>
      <c r="C73" s="502">
        <f>C61</f>
        <v/>
      </c>
      <c r="D73" s="502">
        <f>D61</f>
        <v/>
      </c>
      <c r="E73" s="502">
        <f>E61</f>
        <v/>
      </c>
      <c r="F73" s="502">
        <f>F61</f>
        <v/>
      </c>
    </row>
    <row r="74">
      <c r="A74" s="111" t="inlineStr">
        <is>
          <t>Margen bruto</t>
        </is>
      </c>
      <c r="C74" s="502">
        <f>C62</f>
        <v/>
      </c>
      <c r="D74" s="502">
        <f>D62</f>
        <v/>
      </c>
      <c r="E74" s="502">
        <f>E62</f>
        <v/>
      </c>
      <c r="F74" s="502">
        <f>F62</f>
        <v/>
      </c>
    </row>
    <row r="75">
      <c r="A75" s="111" t="inlineStr">
        <is>
          <t>Margen operativo</t>
        </is>
      </c>
      <c r="C75" s="502">
        <f>C63</f>
        <v/>
      </c>
      <c r="D75" s="502">
        <f>D63</f>
        <v/>
      </c>
      <c r="E75" s="502">
        <f>E63</f>
        <v/>
      </c>
      <c r="F75" s="502">
        <f>F63</f>
        <v/>
      </c>
    </row>
    <row r="76">
      <c r="A76" s="111" t="inlineStr">
        <is>
          <t>Recompras (% del flujo de caja libre)</t>
        </is>
      </c>
      <c r="C76" s="502">
        <f>C64</f>
        <v/>
      </c>
      <c r="D76" s="502">
        <f>D64</f>
        <v/>
      </c>
      <c r="E76" s="502">
        <f>E64</f>
        <v/>
      </c>
      <c r="F76" s="502">
        <f>F64</f>
        <v/>
      </c>
    </row>
    <row r="77">
      <c r="A77" s="111" t="inlineStr">
        <is>
          <t>PER de salida (justificado por fundamentales)</t>
        </is>
      </c>
      <c r="C77" s="503">
        <f>C65</f>
        <v/>
      </c>
      <c r="D77" s="503">
        <f>D65</f>
        <v/>
      </c>
      <c r="E77" s="503">
        <f>E65</f>
        <v/>
      </c>
      <c r="F77" s="503">
        <f>F65</f>
        <v/>
      </c>
    </row>
    <row r="78">
      <c r="A78" s="111" t="inlineStr">
        <is>
          <t>Probabilidad</t>
        </is>
      </c>
      <c r="C78" s="502">
        <f>C66</f>
        <v/>
      </c>
      <c r="D78" s="502">
        <f>D66</f>
        <v/>
      </c>
      <c r="E78" s="502">
        <f>E66</f>
        <v/>
      </c>
      <c r="F78" s="502">
        <f>F66</f>
        <v/>
      </c>
    </row>
    <row r="79">
      <c r="A79" s="111" t="inlineStr">
        <is>
          <t>Suma de probabilidades (debe ser 100%)</t>
        </is>
      </c>
      <c r="B79" s="504">
        <f>SUM(C78:F78)</f>
        <v/>
      </c>
      <c r="C79" s="130">
        <f>IF(ABS(B79-1)&lt;0.0001,"OK","Revisa: no suman 100%")</f>
        <v/>
      </c>
    </row>
    <row r="81">
      <c r="A81" s="130" t="inlineStr">
        <is>
          <t>Control histórico del PER (no entra en el cálculo)</t>
        </is>
      </c>
    </row>
    <row r="82">
      <c r="A82" s="111" t="inlineStr">
        <is>
          <t>PER medio 10 años</t>
        </is>
      </c>
      <c r="B82" s="499">
        <f>AVERAGE('Modelo EPS'!H2:H11)</f>
        <v/>
      </c>
    </row>
    <row r="83">
      <c r="A83" s="111" t="inlineStr">
        <is>
          <t>PER sin outliers</t>
        </is>
      </c>
      <c r="B83" s="499">
        <f>TRIMMEAN('Modelo EPS'!H2:H11,0.2)</f>
        <v/>
      </c>
    </row>
    <row r="84">
      <c r="A84" s="111" t="inlineStr">
        <is>
          <t>PER mínimo</t>
        </is>
      </c>
      <c r="B84" s="499">
        <f>MIN('Modelo EPS'!H2:H11)</f>
        <v/>
      </c>
    </row>
    <row r="85">
      <c r="A85" s="111" t="inlineStr">
        <is>
          <t>PER pagado hoy</t>
        </is>
      </c>
      <c r="B85" s="496">
        <f>$B$13</f>
        <v/>
      </c>
    </row>
    <row r="87">
      <c r="A87" s="130" t="inlineStr">
        <is>
          <t>Reglas de la propuesta</t>
        </is>
      </c>
    </row>
    <row r="88">
      <c r="A88" s="108" t="inlineStr">
        <is>
          <t>Crecimiento (g3 = ritmo de los últimos 3 años; g9 = ritmo 2016-2025; PIB = crecimiento a largo plazo):</t>
        </is>
      </c>
    </row>
    <row r="89">
      <c r="A89" s="108" t="inlineStr">
        <is>
          <t>· Crecimiento: optimista g3 constante · base de g3 a g3/2 · adverso de g3/2 a 0% · desastre de 0% a −5%.</t>
        </is>
      </c>
    </row>
    <row r="90">
      <c r="A90" s="108" t="inlineStr">
        <is>
          <t>· Madurez: optimista g3 constante · base de g3 al PIB · adverso de g3/2 a 0% · desastre −3% anual.</t>
        </is>
      </c>
    </row>
    <row r="91">
      <c r="A91" s="108" t="inlineStr">
        <is>
          <t>· Estancamiento: optimista se mantiene (g3 si es positivo) · base 0% · adverso −3% · desastre −8%.</t>
        </is>
      </c>
    </row>
    <row r="92">
      <c r="A92" s="108" t="inlineStr">
        <is>
          <t>· Declive: optimista se estabiliza (0%) · base de g3 a g3/2 · adverso g3 · desastre 2 × g3.</t>
        </is>
      </c>
    </row>
    <row r="93">
      <c r="A93" s="108" t="inlineStr">
        <is>
          <t>· Cíclica y recuperación: optimista g9 · base g9/2 · adverso 0% · desastre −5%.</t>
        </is>
      </c>
    </row>
    <row r="94">
      <c r="A94" s="108" t="inlineStr">
        <is>
          <t>Márgenes: optimista los del último año · base media de 5 años · adverso los peores de 10 años · desastre la mitad del peor margen operativo. Cíclica: pico, media de 10 años, suelo y mitad del suelo. Recuperación: vuelve a la media de 10 años, mitad de camino, se queda como está y empeora.</t>
        </is>
      </c>
    </row>
    <row r="95">
      <c r="A95" s="108" t="inlineStr">
        <is>
          <t>Recompras: optimista y base destinan a recomprar la misma parte del flujo de caja libre que en los últimos 5 años; adverso la mitad; desastre nada (las acciones crecen con la remuneración en acciones).</t>
        </is>
      </c>
    </row>
    <row r="96">
      <c r="A96" s="108" t="inlineStr">
        <is>
          <t>Probabilidades por defecto (optimista/base/adverso/desastre): crecimiento 20/45/25/10 · madurez 20/50/25/5 · estancamiento 15/50/25/10 · declive 10/40/35/15 · cíclica 20/40/30/10 · recuperación 25/35/25/15.</t>
        </is>
      </c>
    </row>
    <row r="97">
      <c r="A97" s="108" t="inlineStr">
        <is>
          <t>Valor futuro = BPA del año n × PER de salida + caja acumulada por acción + dividendos capitalizados a r.</t>
        </is>
      </c>
    </row>
    <row r="98">
      <c r="A98" s="108" t="inlineStr">
        <is>
          <t>El crecimiento pasa en línea recta del año 1 al 10 y los márgenes del último real al del escenario en los años indicados arriba. Impuestos, amortizaciones, capex, remuneración en acciones, circulante y payout siguen su media histórica en todos los escenarios. La deuda se mantiene.</t>
        </is>
      </c>
    </row>
    <row r="100" ht="15.75" customHeight="1" s="377">
      <c r="A100" s="109" t="inlineStr">
        <is>
          <t>4. Valor futuro por escenario</t>
        </is>
      </c>
      <c r="B100" s="110" t="n"/>
      <c r="C100" s="110" t="n"/>
      <c r="D100" s="110" t="n"/>
      <c r="E100" s="110" t="n"/>
      <c r="F100" s="110" t="n"/>
      <c r="G100" s="110" t="n"/>
      <c r="H100" s="110" t="n"/>
      <c r="I100" s="110" t="n"/>
      <c r="J100" s="110" t="n"/>
      <c r="K100" s="110" t="n"/>
      <c r="L100" s="110" t="n"/>
      <c r="M100" s="110" t="n"/>
    </row>
    <row r="101">
      <c r="A101" s="119" t="n"/>
      <c r="B101" s="120" t="n"/>
      <c r="C101" s="121" t="inlineStr">
        <is>
          <t>Optimista</t>
        </is>
      </c>
      <c r="D101" s="121" t="inlineStr">
        <is>
          <t>Base</t>
        </is>
      </c>
      <c r="E101" s="121" t="inlineStr">
        <is>
          <t>Adverso</t>
        </is>
      </c>
      <c r="F101" s="121" t="inlineStr">
        <is>
          <t>Desastre</t>
        </is>
      </c>
    </row>
    <row r="102">
      <c r="A102" s="111" t="inlineStr">
        <is>
          <t>BPA en el año n</t>
        </is>
      </c>
      <c r="C102" s="493">
        <f>INDEX('Proy. Optimista'!$D$25:$M$25,$B$8)</f>
        <v/>
      </c>
      <c r="D102" s="493">
        <f>INDEX('Proy. Base'!$D$25:$M$25,$B$8)</f>
        <v/>
      </c>
      <c r="E102" s="493">
        <f>INDEX('Proy. Adverso'!$D$25:$M$25,$B$8)</f>
        <v/>
      </c>
      <c r="F102" s="493">
        <f t="array" ref="F102">INDEX('Proy. Desastre'!$D$25:$M$25,$B$8)</f>
        <v/>
      </c>
    </row>
    <row r="103">
      <c r="A103" s="111" t="inlineStr">
        <is>
          <t>PER de salida</t>
        </is>
      </c>
      <c r="C103" s="496">
        <f>C77</f>
        <v/>
      </c>
      <c r="D103" s="496">
        <f>D77</f>
        <v/>
      </c>
      <c r="E103" s="496">
        <f>E77</f>
        <v/>
      </c>
      <c r="F103" s="496">
        <f>F77</f>
        <v/>
      </c>
    </row>
    <row r="104">
      <c r="A104" s="111" t="inlineStr">
        <is>
          <t>Precio en el año n</t>
        </is>
      </c>
      <c r="C104" s="505">
        <f>C102*C103</f>
        <v/>
      </c>
      <c r="D104" s="505">
        <f>D102*D103</f>
        <v/>
      </c>
      <c r="E104" s="505">
        <f>E102*E103</f>
        <v/>
      </c>
      <c r="F104" s="505">
        <f>F102*F103</f>
        <v/>
      </c>
    </row>
    <row r="105">
      <c r="A105" s="111" t="inlineStr">
        <is>
          <t>Caja acumulada en el periodo, por acción</t>
        </is>
      </c>
      <c r="C105" s="493">
        <f>(INDEX('Proy. Optimista'!$D$45:$M$45,$B$8)-'Proy. Optimista'!$C$45)/INDEX('Proy. Optimista'!$D$24:$M$24,$B$8)</f>
        <v/>
      </c>
      <c r="D105" s="493">
        <f>(INDEX('Proy. Base'!$D$45:$M$45,$B$8)-'Proy. Base'!$C$45)/INDEX('Proy. Base'!$D$24:$M$24,$B$8)</f>
        <v/>
      </c>
      <c r="E105" s="493">
        <f>(INDEX('Proy. Adverso'!$D$45:$M$45,$B$8)-'Proy. Adverso'!$C$45)/INDEX('Proy. Adverso'!$D$24:$M$24,$B$8)</f>
        <v/>
      </c>
      <c r="F105" s="493">
        <f t="array" ref="F105">(INDEX('Proy. Desastre'!$D$45:$M$45,$B$8)-'Proy. Desastre'!$C$45)/INDEX('Proy. Desastre'!$D$24:$M$24,$B$8)</f>
        <v/>
      </c>
      <c r="G105" s="108" t="inlineStr">
        <is>
          <t>Caja que el escenario no reparte ni recompra: sigue siendo del accionista.</t>
        </is>
      </c>
    </row>
    <row r="106">
      <c r="A106" s="111" t="inlineStr">
        <is>
          <t>Dividendos cobrados, capitalizados a r</t>
        </is>
      </c>
      <c r="C106" s="493">
        <f>SUMPRODUCT(('Proy. Optimista'!$D$5:$M$5&lt;=$B$8)*'Proy. Optimista'!$D$27:$M$27*(1+$B$7)^($B$8-'Proy. Optimista'!$D$5:$M$5))</f>
        <v/>
      </c>
      <c r="D106" s="493">
        <f>SUMPRODUCT(('Proy. Base'!$D$5:$M$5&lt;=$B$8)*'Proy. Base'!$D$27:$M$27*(1+$B$7)^($B$8-'Proy. Base'!$D$5:$M$5))</f>
        <v/>
      </c>
      <c r="E106" s="493">
        <f>SUMPRODUCT(('Proy. Adverso'!$D$5:$M$5&lt;=$B$8)*'Proy. Adverso'!$D$27:$M$27*(1+$B$7)^($B$8-'Proy. Adverso'!$D$5:$M$5))</f>
        <v/>
      </c>
      <c r="F106" s="493">
        <f t="array" ref="F106">SUMPRODUCT(('Proy. Desastre'!$D$5:$M$5&lt;=$B$8)*'Proy. Desastre'!$D$27:$M$27*(1+$B$7)^($B$8-'Proy. Desastre'!$D$5:$M$5))</f>
        <v/>
      </c>
    </row>
    <row r="107">
      <c r="A107" s="130" t="inlineStr">
        <is>
          <t>Valor futuro realizado (VF)</t>
        </is>
      </c>
      <c r="C107" s="506">
        <f>C104+C105+C106</f>
        <v/>
      </c>
      <c r="D107" s="506">
        <f>D104+D105+D106</f>
        <v/>
      </c>
      <c r="E107" s="506">
        <f>E104+E105+E106</f>
        <v/>
      </c>
      <c r="F107" s="506">
        <f>F104+F105+F106</f>
        <v/>
      </c>
    </row>
    <row r="108">
      <c r="A108" s="111" t="inlineStr">
        <is>
          <t>Rentabilidad anual del escenario</t>
        </is>
      </c>
      <c r="C108" s="498">
        <f>IF(C107&gt;0,(C107/$B$5)^(1/$B$8)-1,-1)</f>
        <v/>
      </c>
      <c r="D108" s="498">
        <f>IF(D107&gt;0,(D107/$B$5)^(1/$B$8)-1,-1)</f>
        <v/>
      </c>
      <c r="E108" s="498">
        <f>IF(E107&gt;0,(E107/$B$5)^(1/$B$8)-1,-1)</f>
        <v/>
      </c>
      <c r="F108" s="498">
        <f>IF(F107&gt;0,(F107/$B$5)^(1/$B$8)-1,-1)</f>
        <v/>
      </c>
    </row>
    <row r="109">
      <c r="A109" s="111" t="inlineStr">
        <is>
          <t>Probabilidad</t>
        </is>
      </c>
      <c r="C109" s="498">
        <f>C78</f>
        <v/>
      </c>
      <c r="D109" s="498">
        <f>D78</f>
        <v/>
      </c>
      <c r="E109" s="498">
        <f>E78</f>
        <v/>
      </c>
      <c r="F109" s="498">
        <f>F78</f>
        <v/>
      </c>
    </row>
    <row r="110">
      <c r="A110" s="111" t="inlineStr">
        <is>
          <t>Exceso (+) o déficit (−) frente al umbral</t>
        </is>
      </c>
      <c r="C110" s="505">
        <f>C107-$B$114</f>
        <v/>
      </c>
      <c r="D110" s="505">
        <f>D107-$B$114</f>
        <v/>
      </c>
      <c r="E110" s="505">
        <f>E107-$B$114</f>
        <v/>
      </c>
      <c r="F110" s="505">
        <f>F107-$B$114</f>
        <v/>
      </c>
    </row>
    <row r="111">
      <c r="A111" s="111" t="inlineStr">
        <is>
          <t>Ponderado por su probabilidad</t>
        </is>
      </c>
      <c r="C111" s="505">
        <f>C109*C110</f>
        <v/>
      </c>
      <c r="D111" s="505">
        <f>D109*D110</f>
        <v/>
      </c>
      <c r="E111" s="505">
        <f>E109*E110</f>
        <v/>
      </c>
      <c r="F111" s="505">
        <f>F109*F110</f>
        <v/>
      </c>
    </row>
    <row r="113" ht="15.75" customHeight="1" s="377">
      <c r="A113" s="109" t="inlineStr">
        <is>
          <t>5. Test de cobertura</t>
        </is>
      </c>
      <c r="B113" s="110" t="n"/>
      <c r="C113" s="110" t="n"/>
      <c r="D113" s="110" t="n"/>
      <c r="E113" s="110" t="n"/>
      <c r="F113" s="110" t="n"/>
      <c r="G113" s="110" t="n"/>
      <c r="H113" s="110" t="n"/>
      <c r="I113" s="110" t="n"/>
      <c r="J113" s="110" t="n"/>
      <c r="K113" s="110" t="n"/>
      <c r="L113" s="110" t="n"/>
      <c r="M113" s="110" t="n"/>
    </row>
    <row r="114">
      <c r="A114" s="111" t="inlineStr">
        <is>
          <t>Umbral: valor futuro requerido = P × (1 + r)^n</t>
        </is>
      </c>
      <c r="B114" s="505">
        <f>$B$5*(1+$B$7)^$B$8</f>
        <v/>
      </c>
    </row>
    <row r="115">
      <c r="A115" s="111" t="inlineStr">
        <is>
          <t>Valor futuro esperado E[VF]</t>
        </is>
      </c>
      <c r="B115" s="505">
        <f>SUMPRODUCT(C109:F109,C107:F107)</f>
        <v/>
      </c>
    </row>
    <row r="116">
      <c r="A116" s="130" t="inlineStr">
        <is>
          <t>Riesgo de no compensación (probabilidad de no llegar al umbral)</t>
        </is>
      </c>
      <c r="B116" s="507">
        <f>SUMPRODUCT((C107:F107&lt;B114)*C109:F109)</f>
        <v/>
      </c>
    </row>
    <row r="117">
      <c r="A117" s="111" t="inlineStr">
        <is>
          <t>Riesgo asumido (déficit esperado)</t>
        </is>
      </c>
      <c r="B117" s="505">
        <f>SUMPRODUCT((C107:F107&lt;B114)*C109:F109*(B114-C107:F107))</f>
        <v/>
      </c>
    </row>
    <row r="118">
      <c r="A118" s="111" t="inlineStr">
        <is>
          <t>Déficit medio cuando no compensa</t>
        </is>
      </c>
      <c r="B118" s="505">
        <f>IF(B116&gt;0,B117/B116,0)</f>
        <v/>
      </c>
    </row>
    <row r="119">
      <c r="A119" s="111" t="inlineStr">
        <is>
          <t>Oportunidad asumida (exceso esperado)</t>
        </is>
      </c>
      <c r="B119" s="505">
        <f>SUMPRODUCT((C107:F107&gt;B114)*C109:F109*(C107:F107-B114))</f>
        <v/>
      </c>
    </row>
    <row r="120">
      <c r="A120" s="130" t="inlineStr">
        <is>
          <t>Valor asumido (oportunidad − riesgo)</t>
        </is>
      </c>
      <c r="B120" s="508">
        <f>B119-B117</f>
        <v/>
      </c>
    </row>
    <row r="121">
      <c r="A121" s="130" t="inlineStr">
        <is>
          <t>Cobertura asumida (oportunidad / riesgo)</t>
        </is>
      </c>
      <c r="B121" s="509">
        <f>IF(B117&gt;0,B119/B117,"Sin cola izquierda")</f>
        <v/>
      </c>
    </row>
    <row r="122">
      <c r="A122" s="130" t="inlineStr">
        <is>
          <t>Veredicto</t>
        </is>
      </c>
      <c r="B122" s="140">
        <f>IF(B120&gt;0,"Compensa","No compensa")</f>
        <v/>
      </c>
    </row>
    <row r="123">
      <c r="A123" s="111" t="inlineStr">
        <is>
          <t>Comprobación: E[VF] − umbral (igual al valor asumido)</t>
        </is>
      </c>
      <c r="B123" s="505">
        <f>B115-B114</f>
        <v/>
      </c>
    </row>
    <row r="125" ht="15.75" customHeight="1" s="377">
      <c r="A125" s="109" t="inlineStr">
        <is>
          <t>6. Valor estimado y margen de seguridad</t>
        </is>
      </c>
      <c r="B125" s="110" t="n"/>
      <c r="C125" s="110" t="n"/>
      <c r="D125" s="110" t="n"/>
      <c r="E125" s="110" t="n"/>
      <c r="F125" s="110" t="n"/>
      <c r="G125" s="110" t="n"/>
      <c r="H125" s="110" t="n"/>
      <c r="I125" s="110" t="n"/>
      <c r="J125" s="110" t="n"/>
      <c r="K125" s="110" t="n"/>
      <c r="L125" s="110" t="n"/>
      <c r="M125" s="110" t="n"/>
    </row>
    <row r="126">
      <c r="A126" s="130" t="inlineStr">
        <is>
          <t>Valor estimado hoy (precio de equilibrio) = E[VF] / (1 + r)^n</t>
        </is>
      </c>
      <c r="B126" s="508">
        <f>B115/(1+$B$7)^$B$8</f>
        <v/>
      </c>
    </row>
    <row r="127">
      <c r="A127" s="130" t="inlineStr">
        <is>
          <t>Margen de seguridad al precio actual</t>
        </is>
      </c>
      <c r="B127" s="507">
        <f>1-$B$5/B126</f>
        <v/>
      </c>
    </row>
    <row r="128">
      <c r="A128" s="130" t="inlineStr">
        <is>
          <t>Rentabilidad anual implícita en la media</t>
        </is>
      </c>
      <c r="B128" s="507">
        <f>IF(B115&gt;0,(B115/$B$5)^(1/$B$8)-1,-1)</f>
        <v/>
      </c>
    </row>
    <row r="129">
      <c r="A129" s="130" t="inlineStr">
        <is>
          <t>Precio máximo de compra con tu margen</t>
        </is>
      </c>
      <c r="B129" s="508">
        <f>B126*(1-$B$9)</f>
        <v/>
      </c>
    </row>
    <row r="130">
      <c r="A130" s="111" t="inlineStr">
        <is>
          <t>Umbral al precio máximo</t>
        </is>
      </c>
      <c r="B130" s="505">
        <f>B129*(1+$B$7)^$B$8</f>
        <v/>
      </c>
    </row>
    <row r="131">
      <c r="A131" s="111" t="inlineStr">
        <is>
          <t>Cobertura al precio máximo</t>
        </is>
      </c>
      <c r="B131" s="510">
        <f>IFERROR(SUMPRODUCT((C107:F107&gt;B130)*C109:F109*(C107:F107-B130))/SUMPRODUCT((C107:F107&lt;B130)*C109:F109*(B130-C107:F107)),"Sin cola izquierda")</f>
        <v/>
      </c>
    </row>
    <row r="132">
      <c r="A132" s="111" t="inlineStr">
        <is>
          <t>Precio actual frente al precio máximo</t>
        </is>
      </c>
      <c r="B132" s="498">
        <f>$B$5/B129-1</f>
        <v/>
      </c>
      <c r="C132" s="108" t="inlineStr">
        <is>
          <t>Positivo: el precio actual está por encima de tu precio máximo.</t>
        </is>
      </c>
    </row>
    <row r="134" ht="15.75" customHeight="1" s="377">
      <c r="A134" s="109" t="inlineStr">
        <is>
          <t>7. Ventana de horizontes (escenario base)</t>
        </is>
      </c>
      <c r="B134" s="110" t="n"/>
      <c r="C134" s="110" t="n"/>
      <c r="D134" s="110" t="n"/>
      <c r="E134" s="110" t="n"/>
      <c r="F134" s="110" t="n"/>
      <c r="G134" s="110" t="n"/>
      <c r="H134" s="110" t="n"/>
      <c r="I134" s="110" t="n"/>
      <c r="J134" s="110" t="n"/>
      <c r="K134" s="110" t="n"/>
      <c r="L134" s="110" t="n"/>
      <c r="M134" s="110" t="n"/>
    </row>
    <row r="135">
      <c r="A135" s="119" t="inlineStr">
        <is>
          <t>Año (n)</t>
        </is>
      </c>
      <c r="B135" s="120" t="n"/>
      <c r="C135" s="120" t="n"/>
      <c r="D135" s="142" t="n">
        <v>1</v>
      </c>
      <c r="E135" s="142" t="n">
        <v>2</v>
      </c>
      <c r="F135" s="142" t="n">
        <v>3</v>
      </c>
      <c r="G135" s="142" t="n">
        <v>4</v>
      </c>
      <c r="H135" s="142" t="n">
        <v>5</v>
      </c>
      <c r="I135" s="142" t="n">
        <v>6</v>
      </c>
      <c r="J135" s="142" t="n">
        <v>7</v>
      </c>
      <c r="K135" s="142" t="n">
        <v>8</v>
      </c>
      <c r="L135" s="142" t="n">
        <v>9</v>
      </c>
      <c r="M135" s="142" t="n">
        <v>10</v>
      </c>
    </row>
    <row r="136">
      <c r="A136" s="111" t="inlineStr">
        <is>
          <t>BPA del escenario base B(n)</t>
        </is>
      </c>
      <c r="D136" s="493">
        <f>'Proy. Base'!D25</f>
        <v/>
      </c>
      <c r="E136" s="493">
        <f>'Proy. Base'!E25</f>
        <v/>
      </c>
      <c r="F136" s="493">
        <f>'Proy. Base'!F25</f>
        <v/>
      </c>
      <c r="G136" s="493">
        <f>'Proy. Base'!G25</f>
        <v/>
      </c>
      <c r="H136" s="493">
        <f>'Proy. Base'!H25</f>
        <v/>
      </c>
      <c r="I136" s="493">
        <f>'Proy. Base'!I25</f>
        <v/>
      </c>
      <c r="J136" s="493">
        <f>'Proy. Base'!J25</f>
        <v/>
      </c>
      <c r="K136" s="493">
        <f>'Proy. Base'!K25</f>
        <v/>
      </c>
      <c r="L136" s="493">
        <f>'Proy. Base'!L25</f>
        <v/>
      </c>
      <c r="M136" s="493">
        <f>'Proy. Base'!M25</f>
        <v/>
      </c>
    </row>
    <row r="137">
      <c r="A137" s="111" t="inlineStr">
        <is>
          <t>Umbral P × (1 + r)^n</t>
        </is>
      </c>
      <c r="D137" s="505">
        <f>$B$5*(1+$B$7)^D$135</f>
        <v/>
      </c>
      <c r="E137" s="505">
        <f>$B$5*(1+$B$7)^E$135</f>
        <v/>
      </c>
      <c r="F137" s="505">
        <f>$B$5*(1+$B$7)^F$135</f>
        <v/>
      </c>
      <c r="G137" s="505">
        <f>$B$5*(1+$B$7)^G$135</f>
        <v/>
      </c>
      <c r="H137" s="505">
        <f>$B$5*(1+$B$7)^H$135</f>
        <v/>
      </c>
      <c r="I137" s="505">
        <f>$B$5*(1+$B$7)^I$135</f>
        <v/>
      </c>
      <c r="J137" s="505">
        <f>$B$5*(1+$B$7)^J$135</f>
        <v/>
      </c>
      <c r="K137" s="505">
        <f>$B$5*(1+$B$7)^K$135</f>
        <v/>
      </c>
      <c r="L137" s="505">
        <f>$B$5*(1+$B$7)^L$135</f>
        <v/>
      </c>
      <c r="M137" s="505">
        <f>$B$5*(1+$B$7)^M$135</f>
        <v/>
      </c>
    </row>
    <row r="138">
      <c r="A138" s="111" t="inlineStr">
        <is>
          <t>Dividendos capitalizados D(n)</t>
        </is>
      </c>
      <c r="D138" s="493">
        <f>SUMPRODUCT(('Proy. Base'!$D$5:$M$5&lt;=D$135)*'Proy. Base'!$D$27:$M$27*(1+$B$7)^(D$135-'Proy. Base'!$D$5:$M$5))</f>
        <v/>
      </c>
      <c r="E138" s="493">
        <f>SUMPRODUCT(('Proy. Base'!$D$5:$M$5&lt;=E$135)*'Proy. Base'!$D$27:$M$27*(1+$B$7)^(E$135-'Proy. Base'!$D$5:$M$5))</f>
        <v/>
      </c>
      <c r="F138" s="493">
        <f>SUMPRODUCT(('Proy. Base'!$D$5:$M$5&lt;=F$135)*'Proy. Base'!$D$27:$M$27*(1+$B$7)^(F$135-'Proy. Base'!$D$5:$M$5))</f>
        <v/>
      </c>
      <c r="G138" s="493">
        <f>SUMPRODUCT(('Proy. Base'!$D$5:$M$5&lt;=G$135)*'Proy. Base'!$D$27:$M$27*(1+$B$7)^(G$135-'Proy. Base'!$D$5:$M$5))</f>
        <v/>
      </c>
      <c r="H138" s="493">
        <f>SUMPRODUCT(('Proy. Base'!$D$5:$M$5&lt;=H$135)*'Proy. Base'!$D$27:$M$27*(1+$B$7)^(H$135-'Proy. Base'!$D$5:$M$5))</f>
        <v/>
      </c>
      <c r="I138" s="493">
        <f>SUMPRODUCT(('Proy. Base'!$D$5:$M$5&lt;=I$135)*'Proy. Base'!$D$27:$M$27*(1+$B$7)^(I$135-'Proy. Base'!$D$5:$M$5))</f>
        <v/>
      </c>
      <c r="J138" s="493">
        <f>SUMPRODUCT(('Proy. Base'!$D$5:$M$5&lt;=J$135)*'Proy. Base'!$D$27:$M$27*(1+$B$7)^(J$135-'Proy. Base'!$D$5:$M$5))</f>
        <v/>
      </c>
      <c r="K138" s="493">
        <f>SUMPRODUCT(('Proy. Base'!$D$5:$M$5&lt;=K$135)*'Proy. Base'!$D$27:$M$27*(1+$B$7)^(K$135-'Proy. Base'!$D$5:$M$5))</f>
        <v/>
      </c>
      <c r="L138" s="493">
        <f>SUMPRODUCT(('Proy. Base'!$D$5:$M$5&lt;=L$135)*'Proy. Base'!$D$27:$M$27*(1+$B$7)^(L$135-'Proy. Base'!$D$5:$M$5))</f>
        <v/>
      </c>
      <c r="M138" s="493">
        <f>SUMPRODUCT(('Proy. Base'!$D$5:$M$5&lt;=M$135)*'Proy. Base'!$D$27:$M$27*(1+$B$7)^(M$135-'Proy. Base'!$D$5:$M$5))</f>
        <v/>
      </c>
    </row>
    <row r="139">
      <c r="A139" s="111" t="inlineStr">
        <is>
          <t>Caja acumulada por acción C(n)</t>
        </is>
      </c>
      <c r="D139" s="493">
        <f>('Proy. Base'!D45-'Proy. Base'!$C$45)/'Proy. Base'!D24</f>
        <v/>
      </c>
      <c r="E139" s="493">
        <f>('Proy. Base'!E45-'Proy. Base'!$C$45)/'Proy. Base'!E24</f>
        <v/>
      </c>
      <c r="F139" s="493">
        <f>('Proy. Base'!F45-'Proy. Base'!$C$45)/'Proy. Base'!F24</f>
        <v/>
      </c>
      <c r="G139" s="493">
        <f>('Proy. Base'!G45-'Proy. Base'!$C$45)/'Proy. Base'!G24</f>
        <v/>
      </c>
      <c r="H139" s="493">
        <f>('Proy. Base'!H45-'Proy. Base'!$C$45)/'Proy. Base'!H24</f>
        <v/>
      </c>
      <c r="I139" s="493">
        <f>('Proy. Base'!I45-'Proy. Base'!$C$45)/'Proy. Base'!I24</f>
        <v/>
      </c>
      <c r="J139" s="493">
        <f>('Proy. Base'!J45-'Proy. Base'!$C$45)/'Proy. Base'!J24</f>
        <v/>
      </c>
      <c r="K139" s="493">
        <f>('Proy. Base'!K45-'Proy. Base'!$C$45)/'Proy. Base'!K24</f>
        <v/>
      </c>
      <c r="L139" s="493">
        <f>('Proy. Base'!L45-'Proy. Base'!$C$45)/'Proy. Base'!L24</f>
        <v/>
      </c>
      <c r="M139" s="493">
        <f>('Proy. Base'!M45-'Proy. Base'!$C$45)/'Proy. Base'!M24</f>
        <v/>
      </c>
    </row>
    <row r="140">
      <c r="A140" s="130" t="inlineStr">
        <is>
          <t>Múltiplo de salida requerido</t>
        </is>
      </c>
      <c r="C140" s="108" t="inlineStr">
        <is>
          <t>Requerido</t>
        </is>
      </c>
      <c r="D140" s="511">
        <f>IF(D136&gt;0,(D137-D138-D139)/D136,"n.a.")</f>
        <v/>
      </c>
      <c r="E140" s="511">
        <f>IF(E136&gt;0,(E137-E138-E139)/E136,"n.a.")</f>
        <v/>
      </c>
      <c r="F140" s="511">
        <f>IF(F136&gt;0,(F137-F138-F139)/F136,"n.a.")</f>
        <v/>
      </c>
      <c r="G140" s="511">
        <f>IF(G136&gt;0,(G137-G138-G139)/G136,"n.a.")</f>
        <v/>
      </c>
      <c r="H140" s="511">
        <f>IF(H136&gt;0,(H137-H138-H139)/H136,"n.a.")</f>
        <v/>
      </c>
      <c r="I140" s="511">
        <f>IF(I136&gt;0,(I137-I138-I139)/I136,"n.a.")</f>
        <v/>
      </c>
      <c r="J140" s="511">
        <f>IF(J136&gt;0,(J137-J138-J139)/J136,"n.a.")</f>
        <v/>
      </c>
      <c r="K140" s="511">
        <f>IF(K136&gt;0,(K137-K138-K139)/K136,"n.a.")</f>
        <v/>
      </c>
      <c r="L140" s="511">
        <f>IF(L136&gt;0,(L137-L138-L139)/L136,"n.a.")</f>
        <v/>
      </c>
      <c r="M140" s="511">
        <f>IF(M136&gt;0,(M137-M138-M139)/M136,"n.a.")</f>
        <v/>
      </c>
    </row>
    <row r="141">
      <c r="A141" s="111" t="inlineStr">
        <is>
          <t>Múltiplo de referencia (PER de salida del escenario base)</t>
        </is>
      </c>
      <c r="C141" s="108" t="inlineStr">
        <is>
          <t>Referencia</t>
        </is>
      </c>
      <c r="D141" s="496">
        <f>$D$77</f>
        <v/>
      </c>
      <c r="E141" s="496">
        <f>$D$77</f>
        <v/>
      </c>
      <c r="F141" s="496">
        <f>$D$77</f>
        <v/>
      </c>
      <c r="G141" s="496">
        <f>$D$77</f>
        <v/>
      </c>
      <c r="H141" s="496">
        <f>$D$77</f>
        <v/>
      </c>
      <c r="I141" s="496">
        <f>$D$77</f>
        <v/>
      </c>
      <c r="J141" s="496">
        <f>$D$77</f>
        <v/>
      </c>
      <c r="K141" s="496">
        <f>$D$77</f>
        <v/>
      </c>
      <c r="L141" s="496">
        <f>$D$77</f>
        <v/>
      </c>
      <c r="M141" s="496">
        <f>$D$77</f>
        <v/>
      </c>
    </row>
    <row r="142">
      <c r="A142" s="130" t="inlineStr">
        <is>
          <t>¿Dentro de la ventana?</t>
        </is>
      </c>
      <c r="D142" s="144">
        <f>IF(AND(ISNUMBER(D140),D140&lt;=D141),"Sí","No")</f>
        <v/>
      </c>
      <c r="E142" s="144">
        <f>IF(AND(ISNUMBER(E140),E140&lt;=E141),"Sí","No")</f>
        <v/>
      </c>
      <c r="F142" s="144">
        <f>IF(AND(ISNUMBER(F140),F140&lt;=F141),"Sí","No")</f>
        <v/>
      </c>
      <c r="G142" s="144">
        <f>IF(AND(ISNUMBER(G140),G140&lt;=G141),"Sí","No")</f>
        <v/>
      </c>
      <c r="H142" s="144">
        <f>IF(AND(ISNUMBER(H140),H140&lt;=H141),"Sí","No")</f>
        <v/>
      </c>
      <c r="I142" s="144">
        <f>IF(AND(ISNUMBER(I140),I140&lt;=I141),"Sí","No")</f>
        <v/>
      </c>
      <c r="J142" s="144">
        <f>IF(AND(ISNUMBER(J140),J140&lt;=J141),"Sí","No")</f>
        <v/>
      </c>
      <c r="K142" s="144">
        <f>IF(AND(ISNUMBER(K140),K140&lt;=K141),"Sí","No")</f>
        <v/>
      </c>
      <c r="L142" s="144">
        <f>IF(AND(ISNUMBER(L140),L140&lt;=L141),"Sí","No")</f>
        <v/>
      </c>
      <c r="M142" s="144">
        <f>IF(AND(ISNUMBER(M140),M140&lt;=M141),"Sí","No")</f>
        <v/>
      </c>
    </row>
    <row r="143">
      <c r="A143" s="111" t="inlineStr">
        <is>
          <t>Crecimiento anual del BPA que exige el precio</t>
        </is>
      </c>
      <c r="D143" s="498">
        <f>(1+$B$7)*($B$13/D141)^(1/D$135)-1</f>
        <v/>
      </c>
      <c r="E143" s="498">
        <f>(1+$B$7)*($B$13/E141)^(1/E$135)-1</f>
        <v/>
      </c>
      <c r="F143" s="498">
        <f>(1+$B$7)*($B$13/F141)^(1/F$135)-1</f>
        <v/>
      </c>
      <c r="G143" s="498">
        <f>(1+$B$7)*($B$13/G141)^(1/G$135)-1</f>
        <v/>
      </c>
      <c r="H143" s="498">
        <f>(1+$B$7)*($B$13/H141)^(1/H$135)-1</f>
        <v/>
      </c>
      <c r="I143" s="498">
        <f>(1+$B$7)*($B$13/I141)^(1/I$135)-1</f>
        <v/>
      </c>
      <c r="J143" s="498">
        <f>(1+$B$7)*($B$13/J141)^(1/J$135)-1</f>
        <v/>
      </c>
      <c r="K143" s="498">
        <f>(1+$B$7)*($B$13/K141)^(1/K$135)-1</f>
        <v/>
      </c>
      <c r="L143" s="498">
        <f>(1+$B$7)*($B$13/L141)^(1/L$135)-1</f>
        <v/>
      </c>
      <c r="M143" s="498">
        <f>(1+$B$7)*($B$13/M141)^(1/M$135)-1</f>
        <v/>
      </c>
    </row>
    <row r="144">
      <c r="A144" s="111" t="inlineStr">
        <is>
          <t>Crecimiento anual del BPA en el escenario base</t>
        </is>
      </c>
      <c r="D144" s="498">
        <f>IF(D136&gt;0,(D136/'Proy. Base'!$C$25)^(1/D$135)-1,-1)</f>
        <v/>
      </c>
      <c r="E144" s="498">
        <f>IF(E136&gt;0,(E136/'Proy. Base'!$C$25)^(1/E$135)-1,-1)</f>
        <v/>
      </c>
      <c r="F144" s="498">
        <f>IF(F136&gt;0,(F136/'Proy. Base'!$C$25)^(1/F$135)-1,-1)</f>
        <v/>
      </c>
      <c r="G144" s="498">
        <f>IF(G136&gt;0,(G136/'Proy. Base'!$C$25)^(1/G$135)-1,-1)</f>
        <v/>
      </c>
      <c r="H144" s="498">
        <f>IF(H136&gt;0,(H136/'Proy. Base'!$C$25)^(1/H$135)-1,-1)</f>
        <v/>
      </c>
      <c r="I144" s="498">
        <f>IF(I136&gt;0,(I136/'Proy. Base'!$C$25)^(1/I$135)-1,-1)</f>
        <v/>
      </c>
      <c r="J144" s="498">
        <f>IF(J136&gt;0,(J136/'Proy. Base'!$C$25)^(1/J$135)-1,-1)</f>
        <v/>
      </c>
      <c r="K144" s="498">
        <f>IF(K136&gt;0,(K136/'Proy. Base'!$C$25)^(1/K$135)-1,-1)</f>
        <v/>
      </c>
      <c r="L144" s="498">
        <f>IF(L136&gt;0,(L136/'Proy. Base'!$C$25)^(1/L$135)-1,-1)</f>
        <v/>
      </c>
      <c r="M144" s="498">
        <f>IF(M136&gt;0,(M136/'Proy. Base'!$C$25)^(1/M$135)-1,-1)</f>
        <v/>
      </c>
    </row>
    <row r="145">
      <c r="A145" s="108" t="inlineStr">
        <is>
          <t>Múltiplo requerido = (P × (1 + r)^n − D(n) − C(n)) / B(n). La ventana son los años en que no supera la referencia. Crecimiento exigido (sin dividendos ni caja) = (1 + r) × (PER pagado / referencia)^(1/n) − 1.</t>
        </is>
      </c>
    </row>
    <row r="163" ht="15.75" customHeight="1" s="377">
      <c r="A163" s="109" t="inlineStr">
        <is>
          <t>8. Test de exposición (opcional)</t>
        </is>
      </c>
      <c r="B163" s="110" t="n"/>
      <c r="C163" s="110" t="n"/>
      <c r="D163" s="110" t="n"/>
      <c r="E163" s="110" t="n"/>
      <c r="F163" s="110" t="n"/>
      <c r="G163" s="110" t="n"/>
      <c r="H163" s="110" t="n"/>
      <c r="I163" s="110" t="n"/>
      <c r="J163" s="110" t="n"/>
      <c r="K163" s="110" t="n"/>
      <c r="L163" s="110" t="n"/>
      <c r="M163" s="110" t="n"/>
    </row>
    <row r="164">
      <c r="A164" s="111" t="inlineStr">
        <is>
          <t>Patrimonio líquido</t>
        </is>
      </c>
      <c r="B164" s="512" t="n"/>
      <c r="C164" s="108" t="inlineStr">
        <is>
          <t>Rellénalo si quieres ver el efecto de cada escenario sobre tu patrimonio.</t>
        </is>
      </c>
    </row>
    <row r="165">
      <c r="A165" s="111" t="inlineStr">
        <is>
          <t>Importe invertido en la posición</t>
        </is>
      </c>
      <c r="B165" s="512" t="n"/>
    </row>
    <row r="166">
      <c r="A166" s="111" t="inlineStr">
        <is>
          <t>Deuda ligada a la posición</t>
        </is>
      </c>
      <c r="B166" s="512" t="n">
        <v>0</v>
      </c>
    </row>
    <row r="167">
      <c r="A167" s="111" t="inlineStr">
        <is>
          <t>Peso de la posición en el patrimonio</t>
        </is>
      </c>
      <c r="B167" s="498">
        <f>IF(AND($B$164&gt;0,$B$165&gt;0),$B$165/$B$164,"—")</f>
        <v/>
      </c>
    </row>
    <row r="168">
      <c r="A168" s="119" t="n"/>
      <c r="B168" s="120" t="n"/>
      <c r="C168" s="121" t="inlineStr">
        <is>
          <t>Optimista</t>
        </is>
      </c>
      <c r="D168" s="121" t="inlineStr">
        <is>
          <t>Base</t>
        </is>
      </c>
      <c r="E168" s="121" t="inlineStr">
        <is>
          <t>Adverso</t>
        </is>
      </c>
      <c r="F168" s="121" t="inlineStr">
        <is>
          <t>Desastre</t>
        </is>
      </c>
    </row>
    <row r="169">
      <c r="A169" s="111" t="inlineStr">
        <is>
          <t>Resultado del activo en el año n</t>
        </is>
      </c>
      <c r="C169" s="498">
        <f>C107/$B$5-1</f>
        <v/>
      </c>
      <c r="D169" s="498">
        <f>D107/$B$5-1</f>
        <v/>
      </c>
      <c r="E169" s="498">
        <f>E107/$B$5-1</f>
        <v/>
      </c>
      <c r="F169" s="498">
        <f>F107/$B$5-1</f>
        <v/>
      </c>
    </row>
    <row r="170">
      <c r="A170" s="111" t="inlineStr">
        <is>
          <t>Valor final de la posición</t>
        </is>
      </c>
      <c r="C170" s="513">
        <f>IF($B$165&gt;0,$B$165*C107/$B$5,"—")</f>
        <v/>
      </c>
      <c r="D170" s="513">
        <f>IF($B$165&gt;0,$B$165*D107/$B$5,"—")</f>
        <v/>
      </c>
      <c r="E170" s="513">
        <f>IF($B$165&gt;0,$B$165*E107/$B$5,"—")</f>
        <v/>
      </c>
      <c r="F170" s="513">
        <f>IF($B$165&gt;0,$B$165*F107/$B$5,"—")</f>
        <v/>
      </c>
    </row>
    <row r="171">
      <c r="A171" s="111" t="inlineStr">
        <is>
          <t>Capital propio tras devolver la deuda</t>
        </is>
      </c>
      <c r="C171" s="513">
        <f>IF($B$165&gt;0,C170-$B$166,"—")</f>
        <v/>
      </c>
      <c r="D171" s="513">
        <f>IF($B$165&gt;0,D170-$B$166,"—")</f>
        <v/>
      </c>
      <c r="E171" s="513">
        <f>IF($B$165&gt;0,E170-$B$166,"—")</f>
        <v/>
      </c>
      <c r="F171" s="513">
        <f>IF($B$165&gt;0,F170-$B$166,"—")</f>
        <v/>
      </c>
    </row>
    <row r="172">
      <c r="A172" s="130" t="inlineStr">
        <is>
          <t>Efecto sobre el patrimonio</t>
        </is>
      </c>
      <c r="C172" s="504">
        <f>IF(AND($B$164&gt;0,$B$165&gt;0),(C171-($B$165-$B$166))/$B$164,"—")</f>
        <v/>
      </c>
      <c r="D172" s="504">
        <f>IF(AND($B$164&gt;0,$B$165&gt;0),(D171-($B$165-$B$166))/$B$164,"—")</f>
        <v/>
      </c>
      <c r="E172" s="504">
        <f>IF(AND($B$164&gt;0,$B$165&gt;0),(E171-($B$165-$B$166))/$B$164,"—")</f>
        <v/>
      </c>
      <c r="F172" s="504">
        <f>IF(AND($B$164&gt;0,$B$165&gt;0),(F171-($B$165-$B$166))/$B$164,"—")</f>
        <v/>
      </c>
    </row>
    <row r="174">
      <c r="A174" s="108" t="inlineStr">
        <is>
          <t>Preguntas de supervivencia: ¿quién puede obligarme a vender? ¿Qué tendría que ocurrir para que lo hiciera?</t>
        </is>
      </c>
    </row>
    <row r="175">
      <c r="A175" s="108" t="inlineStr">
        <is>
          <t>¿Hay deuda ligada al valor de la posición? ¿Tendría que aportar capital tras una caída?</t>
        </is>
      </c>
    </row>
    <row r="176">
      <c r="A176" s="108" t="inlineStr">
        <is>
          <t>¿Necesitaré este dinero antes del horizonte? ¿Pueden fallar mis otras fuentes de liquidez a la vez?</t>
        </is>
      </c>
    </row>
  </sheetData>
  <pageMargins left="0.75" right="0.75" top="1" bottom="1"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C7:X31"/>
  <sheetViews>
    <sheetView topLeftCell="A7" zoomScale="70" zoomScaleNormal="70" workbookViewId="0">
      <selection activeCell="M9" sqref="M9"/>
    </sheetView>
  </sheetViews>
  <sheetFormatPr baseColWidth="10" defaultColWidth="11.42578125" defaultRowHeight="15"/>
  <cols>
    <col width="43.85546875" customWidth="1" style="377" min="3" max="3"/>
    <col width="13.28515625" customWidth="1" style="377" min="4" max="13"/>
  </cols>
  <sheetData>
    <row r="7" ht="83.25" customHeight="1" s="377" thickBot="1">
      <c r="C7" s="169" t="inlineStr">
        <is>
          <t>Annual Data | Millions of US $ except per share data</t>
        </is>
      </c>
      <c r="D7" s="170" t="n">
        <v>2016</v>
      </c>
      <c r="E7" s="170" t="n">
        <v>2017</v>
      </c>
      <c r="F7" s="170" t="n">
        <v>2018</v>
      </c>
      <c r="G7" s="170" t="n">
        <v>2019</v>
      </c>
      <c r="H7" s="170" t="n">
        <v>2020</v>
      </c>
      <c r="I7" s="170" t="n">
        <v>2021</v>
      </c>
      <c r="J7" s="170" t="n">
        <v>2022</v>
      </c>
      <c r="K7" s="170" t="n">
        <v>2023</v>
      </c>
      <c r="L7" s="170" t="n">
        <v>2024</v>
      </c>
      <c r="M7" s="170" t="n">
        <v>2025</v>
      </c>
      <c r="N7" s="280" t="n"/>
      <c r="O7" s="280" t="n"/>
      <c r="P7" s="280" t="n"/>
      <c r="Q7" s="514" t="n"/>
      <c r="R7" s="514" t="n"/>
      <c r="S7" s="514" t="n"/>
      <c r="T7" s="514" t="n"/>
      <c r="U7" s="514" t="n"/>
      <c r="V7" s="514" t="n"/>
      <c r="W7" s="514" t="n"/>
      <c r="X7" s="514" t="n"/>
    </row>
    <row r="8" ht="15.75" customHeight="1" s="377" thickBot="1">
      <c r="C8" s="171" t="inlineStr">
        <is>
          <t>Revenue</t>
        </is>
      </c>
      <c r="D8" s="515" t="n">
        <v>5854.43</v>
      </c>
      <c r="E8" s="515" t="n">
        <v>7301.505</v>
      </c>
      <c r="F8" s="515" t="n">
        <v>9030</v>
      </c>
      <c r="G8" s="515" t="n">
        <v>11171</v>
      </c>
      <c r="H8" s="515" t="n">
        <v>12868</v>
      </c>
      <c r="I8" s="515" t="n">
        <v>15785</v>
      </c>
      <c r="J8" s="515" t="n">
        <v>17606</v>
      </c>
      <c r="K8" s="515" t="n">
        <v>19409</v>
      </c>
      <c r="L8" s="515" t="n">
        <v>21505</v>
      </c>
      <c r="M8" s="515" t="n">
        <v>23769</v>
      </c>
      <c r="O8" s="280" t="n"/>
      <c r="P8" s="280" t="n"/>
      <c r="Q8" s="280" t="n"/>
      <c r="R8" s="280" t="n"/>
      <c r="S8" s="280" t="n"/>
      <c r="T8" s="280" t="n"/>
      <c r="U8" s="280" t="n"/>
      <c r="V8" s="280" t="n"/>
      <c r="W8" s="280" t="n"/>
      <c r="X8" s="280" t="n"/>
    </row>
    <row r="9" ht="27.75" customHeight="1" s="377" thickBot="1">
      <c r="C9" s="173" t="inlineStr">
        <is>
          <t>Cost Of Goods Sold</t>
        </is>
      </c>
      <c r="D9" s="516" t="n">
        <v>819.908</v>
      </c>
      <c r="E9" s="516" t="n">
        <v>1010.491</v>
      </c>
      <c r="F9" s="516" t="n">
        <v>1195</v>
      </c>
      <c r="G9" s="516" t="n">
        <v>1673</v>
      </c>
      <c r="H9" s="516" t="n">
        <v>1722</v>
      </c>
      <c r="I9" s="516" t="n">
        <v>1865</v>
      </c>
      <c r="J9" s="516" t="n">
        <v>2165</v>
      </c>
      <c r="K9" s="516" t="n">
        <v>2354</v>
      </c>
      <c r="L9" s="516" t="n">
        <v>2358</v>
      </c>
      <c r="M9" s="516" t="n">
        <v>2551</v>
      </c>
      <c r="O9" s="280" t="n"/>
      <c r="P9" s="280" t="n"/>
      <c r="Q9" s="280" t="n"/>
      <c r="R9" s="280" t="n"/>
      <c r="S9" s="280" t="n"/>
      <c r="T9" s="280" t="n"/>
      <c r="U9" s="280" t="n"/>
      <c r="V9" s="280" t="n"/>
      <c r="W9" s="280" t="n"/>
      <c r="X9" s="280" t="n"/>
    </row>
    <row r="10" ht="15.75" customHeight="1" s="377">
      <c r="C10" s="167" t="inlineStr">
        <is>
          <t>Gross Profit</t>
        </is>
      </c>
      <c r="D10" s="517" t="n">
        <v>5034.522</v>
      </c>
      <c r="E10" s="517" t="n">
        <v>6291.014</v>
      </c>
      <c r="F10" s="517" t="n">
        <v>7835</v>
      </c>
      <c r="G10" s="517" t="n">
        <v>9498</v>
      </c>
      <c r="H10" s="517" t="n">
        <v>11146</v>
      </c>
      <c r="I10" s="517" t="n">
        <v>13920</v>
      </c>
      <c r="J10" s="517" t="n">
        <v>15441</v>
      </c>
      <c r="K10" s="517" t="n">
        <v>17055</v>
      </c>
      <c r="L10" s="517" t="n">
        <v>19147</v>
      </c>
      <c r="M10" s="517" t="n">
        <v>21218</v>
      </c>
      <c r="O10" s="280" t="n"/>
      <c r="P10" s="280" t="n"/>
      <c r="Q10" s="280" t="n"/>
      <c r="R10" s="280" t="n"/>
      <c r="S10" s="280" t="n"/>
      <c r="T10" s="280" t="n"/>
      <c r="U10" s="280" t="n"/>
      <c r="V10" s="280" t="n"/>
      <c r="W10" s="280" t="n"/>
      <c r="X10" s="280" t="n"/>
    </row>
    <row r="11" ht="69" customHeight="1" s="377" thickBot="1">
      <c r="C11" s="174" t="inlineStr">
        <is>
          <t>Research And Development Expenses</t>
        </is>
      </c>
      <c r="D11" s="518" t="n">
        <v>975.987</v>
      </c>
      <c r="E11" s="518" t="n">
        <v>1224.059</v>
      </c>
      <c r="F11" s="518" t="n">
        <v>1538</v>
      </c>
      <c r="G11" s="518" t="n">
        <v>1930</v>
      </c>
      <c r="H11" s="518" t="n">
        <v>2188</v>
      </c>
      <c r="I11" s="518" t="n">
        <v>2540</v>
      </c>
      <c r="J11" s="518" t="n">
        <v>2987</v>
      </c>
      <c r="K11" s="518" t="n">
        <v>3473</v>
      </c>
      <c r="L11" s="518" t="n">
        <v>3944</v>
      </c>
      <c r="M11" s="518" t="n">
        <v>4294</v>
      </c>
      <c r="O11" s="280" t="n"/>
      <c r="P11" s="280" t="n"/>
      <c r="Q11" s="280" t="n"/>
      <c r="R11" s="280" t="n"/>
      <c r="S11" s="280" t="n"/>
      <c r="T11" s="280" t="n"/>
      <c r="U11" s="280" t="n"/>
      <c r="V11" s="280" t="n"/>
      <c r="W11" s="280" t="n"/>
      <c r="X11" s="280" t="n"/>
    </row>
    <row r="12" ht="27.75" customHeight="1" s="377" thickBot="1">
      <c r="C12" s="159" t="inlineStr">
        <is>
          <t>SG&amp;A Expenses</t>
        </is>
      </c>
      <c r="D12" s="519" t="n">
        <v>2486.399</v>
      </c>
      <c r="E12" s="519" t="n">
        <v>2822.298</v>
      </c>
      <c r="F12" s="519" t="n">
        <v>3366</v>
      </c>
      <c r="G12" s="519" t="n">
        <v>4125</v>
      </c>
      <c r="H12" s="519" t="n">
        <v>4559</v>
      </c>
      <c r="I12" s="519" t="n">
        <v>5406</v>
      </c>
      <c r="J12" s="519" t="n">
        <v>6187</v>
      </c>
      <c r="K12" s="519" t="n">
        <v>6764</v>
      </c>
      <c r="L12" s="519" t="n">
        <v>7293</v>
      </c>
      <c r="M12" s="519" t="n">
        <v>8061</v>
      </c>
      <c r="O12" s="280" t="n"/>
      <c r="P12" s="280" t="n"/>
      <c r="Q12" s="280" t="n"/>
      <c r="R12" s="280" t="n"/>
      <c r="S12" s="280" t="n"/>
      <c r="T12" s="280" t="n"/>
      <c r="U12" s="280" t="n"/>
      <c r="V12" s="280" t="n"/>
      <c r="W12" s="280" t="n"/>
      <c r="X12" s="280" t="n"/>
    </row>
    <row r="13" ht="54.75" customHeight="1" s="377">
      <c r="C13" s="159" t="inlineStr">
        <is>
          <t>Other Operating Income Or Expenses</t>
        </is>
      </c>
      <c r="D13" s="519" t="n"/>
      <c r="E13" s="519" t="n">
        <v>-1000</v>
      </c>
      <c r="F13" s="519" t="n"/>
      <c r="G13" s="519" t="n"/>
      <c r="H13" s="519" t="n"/>
      <c r="I13" s="519" t="n"/>
      <c r="J13" s="519" t="n"/>
      <c r="K13" s="519" t="n"/>
      <c r="L13" s="519" t="n">
        <v>-1000</v>
      </c>
      <c r="M13" s="519" t="n"/>
      <c r="O13" s="280" t="n"/>
      <c r="P13" s="280" t="n"/>
      <c r="Q13" s="280" t="n"/>
      <c r="R13" s="280" t="n"/>
      <c r="S13" s="280" t="n"/>
      <c r="T13" s="280" t="n"/>
      <c r="U13" s="280" t="n"/>
      <c r="V13" s="280" t="n"/>
      <c r="W13" s="280" t="n"/>
    </row>
    <row r="14" ht="27" customHeight="1" s="377" thickBot="1">
      <c r="C14" s="159" t="inlineStr">
        <is>
          <t>Operating Expenses</t>
        </is>
      </c>
      <c r="D14" s="519" t="n">
        <v>3540.92</v>
      </c>
      <c r="E14" s="519" t="n">
        <v>4122.919</v>
      </c>
      <c r="F14" s="519" t="n">
        <v>4995</v>
      </c>
      <c r="G14" s="519" t="n">
        <v>6230</v>
      </c>
      <c r="H14" s="519" t="n">
        <v>6909</v>
      </c>
      <c r="I14" s="519" t="n">
        <v>8118</v>
      </c>
      <c r="J14" s="519" t="n">
        <v>9343</v>
      </c>
      <c r="K14" s="519" t="n">
        <v>10405</v>
      </c>
      <c r="L14" s="519" t="n">
        <v>12406</v>
      </c>
      <c r="M14" s="519" t="n">
        <v>12512</v>
      </c>
      <c r="O14" s="280" t="n"/>
      <c r="P14" s="280" t="n"/>
      <c r="Q14" s="280" t="n"/>
      <c r="R14" s="280" t="n"/>
      <c r="S14" s="280" t="n"/>
      <c r="T14" s="280" t="n"/>
      <c r="U14" s="280" t="n"/>
      <c r="V14" s="280" t="n"/>
      <c r="W14" s="280" t="n"/>
      <c r="X14" s="280" t="n"/>
    </row>
    <row r="15" ht="27.75" customHeight="1" s="377">
      <c r="C15" s="167" t="inlineStr">
        <is>
          <t>Operating Income</t>
        </is>
      </c>
      <c r="D15" s="517" t="n">
        <v>1493.602</v>
      </c>
      <c r="E15" s="517" t="n">
        <v>2168.095</v>
      </c>
      <c r="F15" s="517" t="n">
        <v>2840</v>
      </c>
      <c r="G15" s="517" t="n">
        <v>3268</v>
      </c>
      <c r="H15" s="517" t="n">
        <v>4237</v>
      </c>
      <c r="I15" s="517" t="n">
        <v>5802</v>
      </c>
      <c r="J15" s="517" t="n">
        <v>6098</v>
      </c>
      <c r="K15" s="517" t="n">
        <v>6650</v>
      </c>
      <c r="L15" s="517" t="n">
        <v>6741</v>
      </c>
      <c r="M15" s="517" t="n">
        <v>8706</v>
      </c>
      <c r="O15" s="280" t="n"/>
      <c r="P15" s="280" t="n"/>
      <c r="Q15" s="280" t="n"/>
      <c r="R15" s="280" t="n"/>
      <c r="S15" s="280" t="n"/>
      <c r="T15" s="280" t="n"/>
      <c r="U15" s="280" t="n"/>
      <c r="V15" s="280" t="n"/>
      <c r="W15" s="280" t="n"/>
      <c r="X15" s="280" t="n"/>
    </row>
    <row r="16" ht="55.5" customHeight="1" s="377" thickBot="1">
      <c r="C16" s="174" t="inlineStr">
        <is>
          <t>Total Non-Operating Income/Expense</t>
        </is>
      </c>
      <c r="D16" s="518" t="n">
        <v>-58.464</v>
      </c>
      <c r="E16" s="518" t="n">
        <v>-30.454</v>
      </c>
      <c r="F16" s="518" t="n">
        <v>-46</v>
      </c>
      <c r="G16" s="518" t="n">
        <v>-63</v>
      </c>
      <c r="H16" s="518" t="n">
        <v>-61</v>
      </c>
      <c r="I16" s="518" t="n">
        <v>-97</v>
      </c>
      <c r="J16" s="518" t="n">
        <v>-90</v>
      </c>
      <c r="K16" s="518" t="n">
        <v>149</v>
      </c>
      <c r="L16" s="518" t="n">
        <v>190</v>
      </c>
      <c r="M16" s="518" t="n">
        <v>28</v>
      </c>
      <c r="O16" s="280" t="n"/>
      <c r="P16" s="280" t="n"/>
      <c r="Q16" s="280" t="n"/>
      <c r="R16" s="280" t="n"/>
      <c r="S16" s="280" t="n"/>
      <c r="T16" s="280" t="n"/>
      <c r="U16" s="280" t="n"/>
      <c r="V16" s="280" t="n"/>
      <c r="W16" s="280" t="n"/>
      <c r="X16" s="280" t="n"/>
    </row>
    <row r="17" ht="27.75" customHeight="1" s="377">
      <c r="C17" s="167" t="inlineStr">
        <is>
          <t>Pre-Tax Income</t>
        </is>
      </c>
      <c r="D17" s="517" t="n">
        <v>1435.138</v>
      </c>
      <c r="E17" s="517" t="n">
        <v>2137.641</v>
      </c>
      <c r="F17" s="517" t="n">
        <v>2794</v>
      </c>
      <c r="G17" s="517" t="n">
        <v>3205</v>
      </c>
      <c r="H17" s="517" t="n">
        <v>4176</v>
      </c>
      <c r="I17" s="517" t="n">
        <v>5705</v>
      </c>
      <c r="J17" s="517" t="n">
        <v>6008</v>
      </c>
      <c r="K17" s="517" t="n">
        <v>6799</v>
      </c>
      <c r="L17" s="517" t="n">
        <v>6931</v>
      </c>
      <c r="M17" s="517" t="n">
        <v>8734</v>
      </c>
      <c r="O17" s="280" t="n"/>
      <c r="P17" s="280" t="n"/>
      <c r="Q17" s="280" t="n"/>
      <c r="R17" s="280" t="n"/>
      <c r="S17" s="280" t="n"/>
      <c r="T17" s="280" t="n"/>
      <c r="U17" s="280" t="n"/>
      <c r="V17" s="280" t="n"/>
      <c r="W17" s="280" t="n"/>
      <c r="X17" s="280" t="n"/>
    </row>
    <row r="18" ht="27.75" customHeight="1" s="377" thickBot="1">
      <c r="C18" s="174" t="inlineStr">
        <is>
          <t>Income Taxes</t>
        </is>
      </c>
      <c r="D18" s="518" t="n">
        <v>266.356</v>
      </c>
      <c r="E18" s="518" t="n">
        <v>443.687</v>
      </c>
      <c r="F18" s="518" t="n">
        <v>203</v>
      </c>
      <c r="G18" s="518" t="n">
        <v>254</v>
      </c>
      <c r="H18" s="518" t="n">
        <v>-1084</v>
      </c>
      <c r="I18" s="518" t="n">
        <v>883</v>
      </c>
      <c r="J18" s="518" t="n">
        <v>1252</v>
      </c>
      <c r="K18" s="518" t="n">
        <v>1371</v>
      </c>
      <c r="L18" s="518" t="n">
        <v>1371</v>
      </c>
      <c r="M18" s="518" t="n">
        <v>1604</v>
      </c>
      <c r="O18" s="280" t="n"/>
      <c r="P18" s="280" t="n"/>
      <c r="Q18" s="280" t="n"/>
      <c r="R18" s="280" t="n"/>
      <c r="S18" s="280" t="n"/>
      <c r="T18" s="280" t="n"/>
      <c r="U18" s="280" t="n"/>
      <c r="V18" s="280" t="n"/>
      <c r="W18" s="280" t="n"/>
      <c r="X18" s="280" t="n"/>
    </row>
    <row r="19" ht="15.75" customHeight="1" s="377" thickBot="1">
      <c r="C19" s="167" t="inlineStr">
        <is>
          <t>Income After Taxes</t>
        </is>
      </c>
      <c r="D19" s="520" t="n">
        <v>1168.782</v>
      </c>
      <c r="E19" s="520" t="n">
        <v>1693.954</v>
      </c>
      <c r="F19" s="520" t="n">
        <v>2591</v>
      </c>
      <c r="G19" s="520" t="n">
        <v>2951</v>
      </c>
      <c r="H19" s="520" t="n">
        <v>5260</v>
      </c>
      <c r="I19" s="520" t="n">
        <v>4822</v>
      </c>
      <c r="J19" s="520" t="n">
        <v>4756</v>
      </c>
      <c r="K19" s="520" t="n">
        <v>5428</v>
      </c>
      <c r="L19" s="520" t="n">
        <v>5560</v>
      </c>
      <c r="M19" s="520" t="n">
        <v>7130</v>
      </c>
      <c r="O19" s="280" t="n"/>
      <c r="P19" s="280" t="n"/>
      <c r="Q19" s="280" t="n"/>
      <c r="R19" s="280" t="n"/>
      <c r="S19" s="280" t="n"/>
      <c r="T19" s="280" t="n"/>
      <c r="U19" s="280" t="n"/>
      <c r="V19" s="280" t="n"/>
      <c r="W19" s="280" t="n"/>
      <c r="X19" s="280" t="n"/>
    </row>
    <row r="20" ht="15.75" customHeight="1" s="377">
      <c r="C20" s="159" t="inlineStr">
        <is>
          <t>Other Income</t>
        </is>
      </c>
      <c r="D20" s="519" t="n"/>
      <c r="E20" s="519" t="n"/>
      <c r="F20" s="519" t="n"/>
      <c r="G20" s="519" t="n"/>
      <c r="H20" s="519" t="n"/>
      <c r="I20" s="519" t="n"/>
      <c r="J20" s="519" t="n"/>
      <c r="K20" s="519" t="n"/>
      <c r="L20" s="519" t="n"/>
      <c r="M20" s="519" t="n"/>
      <c r="O20" s="280" t="n"/>
      <c r="P20" s="280" t="n"/>
      <c r="Q20" s="280" t="n"/>
      <c r="R20" s="280" t="n"/>
      <c r="S20" s="280" t="n"/>
      <c r="T20" s="280" t="n"/>
      <c r="U20" s="280" t="n"/>
      <c r="V20" s="280" t="n"/>
      <c r="W20" s="280" t="n"/>
    </row>
    <row r="21" ht="15.75" customHeight="1" s="377">
      <c r="C21" s="156" t="inlineStr">
        <is>
          <t>Income From Continuous Operations</t>
        </is>
      </c>
      <c r="D21" s="519" t="n">
        <v>1168.782</v>
      </c>
      <c r="E21" s="519" t="n">
        <v>1693.954</v>
      </c>
      <c r="F21" s="519" t="n">
        <v>2591</v>
      </c>
      <c r="G21" s="519" t="n">
        <v>2951</v>
      </c>
      <c r="H21" s="519" t="n">
        <v>5260</v>
      </c>
      <c r="I21" s="519" t="n">
        <v>4822</v>
      </c>
      <c r="J21" s="519" t="n">
        <v>4756</v>
      </c>
      <c r="K21" s="519" t="n">
        <v>5428</v>
      </c>
      <c r="L21" s="519" t="n">
        <v>5560</v>
      </c>
      <c r="M21" s="519" t="n">
        <v>7130</v>
      </c>
      <c r="O21" s="280" t="n"/>
      <c r="P21" s="280" t="n"/>
      <c r="Q21" s="280" t="n"/>
      <c r="R21" s="280" t="n"/>
      <c r="S21" s="280" t="n"/>
      <c r="T21" s="280" t="n"/>
      <c r="U21" s="280" t="n"/>
      <c r="V21" s="280" t="n"/>
      <c r="W21" s="280" t="n"/>
      <c r="X21" s="280" t="n"/>
    </row>
    <row r="22" ht="15.75" customHeight="1" s="377" thickBot="1">
      <c r="C22" s="159" t="inlineStr">
        <is>
          <t>Income From Discontinued Operations</t>
        </is>
      </c>
      <c r="D22" s="519" t="n"/>
      <c r="E22" s="519" t="n"/>
      <c r="F22" s="519" t="n"/>
      <c r="G22" s="519" t="n"/>
      <c r="H22" s="519" t="n"/>
      <c r="I22" s="519" t="n"/>
      <c r="J22" s="519" t="n"/>
      <c r="K22" s="519" t="n"/>
      <c r="L22" s="519" t="n"/>
      <c r="M22" s="519" t="n"/>
      <c r="O22" s="280" t="n"/>
      <c r="P22" s="280" t="n"/>
      <c r="Q22" s="280" t="n"/>
      <c r="R22" s="280" t="n"/>
      <c r="S22" s="280" t="n"/>
      <c r="T22" s="280" t="n"/>
      <c r="U22" s="280" t="n"/>
      <c r="V22" s="280" t="n"/>
      <c r="W22" s="280" t="n"/>
    </row>
    <row r="23" ht="15.75" customHeight="1" s="377">
      <c r="C23" s="167" t="inlineStr">
        <is>
          <t>Net Income</t>
        </is>
      </c>
      <c r="D23" s="517" t="n">
        <v>1168.782</v>
      </c>
      <c r="E23" s="517" t="n">
        <v>1693.954</v>
      </c>
      <c r="F23" s="517" t="n">
        <v>2591</v>
      </c>
      <c r="G23" s="517" t="n">
        <v>2951</v>
      </c>
      <c r="H23" s="517" t="n">
        <v>5260</v>
      </c>
      <c r="I23" s="517" t="n">
        <v>4822</v>
      </c>
      <c r="J23" s="517" t="n">
        <v>4756</v>
      </c>
      <c r="K23" s="517" t="n">
        <v>5428</v>
      </c>
      <c r="L23" s="517" t="n">
        <v>5560</v>
      </c>
      <c r="M23" s="517" t="n">
        <v>7130</v>
      </c>
      <c r="O23" s="280" t="n"/>
      <c r="P23" s="280" t="n"/>
      <c r="Q23" s="280" t="n"/>
      <c r="R23" s="280" t="n"/>
      <c r="S23" s="280" t="n"/>
      <c r="T23" s="280" t="n"/>
      <c r="U23" s="280" t="n"/>
      <c r="V23" s="280" t="n"/>
      <c r="W23" s="280" t="n"/>
      <c r="X23" s="280" t="n"/>
    </row>
    <row r="24" ht="15.75" customHeight="1" s="377" thickBot="1">
      <c r="C24" s="177" t="inlineStr">
        <is>
          <t>EBITDA</t>
        </is>
      </c>
      <c r="D24" s="521" t="n">
        <v>1825.137</v>
      </c>
      <c r="E24" s="521" t="n">
        <v>2494.092</v>
      </c>
      <c r="F24" s="521" t="n">
        <v>3186</v>
      </c>
      <c r="G24" s="521" t="n">
        <v>4025</v>
      </c>
      <c r="H24" s="521" t="n">
        <v>4994</v>
      </c>
      <c r="I24" s="521" t="n">
        <v>6590</v>
      </c>
      <c r="J24" s="521" t="n">
        <v>6954</v>
      </c>
      <c r="K24" s="521" t="n">
        <v>7522</v>
      </c>
      <c r="L24" s="521" t="n">
        <v>7598</v>
      </c>
      <c r="M24" s="521" t="n">
        <v>9524</v>
      </c>
      <c r="O24" s="280" t="n"/>
      <c r="P24" s="280" t="n"/>
      <c r="Q24" s="280" t="n"/>
      <c r="R24" s="280" t="n"/>
      <c r="S24" s="280" t="n"/>
      <c r="T24" s="280" t="n"/>
      <c r="U24" s="280" t="n"/>
      <c r="V24" s="280" t="n"/>
      <c r="W24" s="280" t="n"/>
      <c r="X24" s="280" t="n"/>
    </row>
    <row r="25" ht="15.75" customHeight="1" s="377">
      <c r="C25" s="167" t="inlineStr">
        <is>
          <t>EBIT</t>
        </is>
      </c>
      <c r="D25" s="517" t="n">
        <v>1493.602</v>
      </c>
      <c r="E25" s="517" t="n">
        <v>2168.095</v>
      </c>
      <c r="F25" s="517" t="n">
        <v>2840</v>
      </c>
      <c r="G25" s="517" t="n">
        <v>3268</v>
      </c>
      <c r="H25" s="517" t="n">
        <v>4237</v>
      </c>
      <c r="I25" s="517" t="n">
        <v>5802</v>
      </c>
      <c r="J25" s="517" t="n">
        <v>6098</v>
      </c>
      <c r="K25" s="517" t="n">
        <v>6650</v>
      </c>
      <c r="L25" s="517" t="n">
        <v>6741</v>
      </c>
      <c r="M25" s="517" t="n">
        <v>8706</v>
      </c>
      <c r="O25" s="280" t="n"/>
      <c r="P25" s="280" t="n"/>
      <c r="Q25" s="280" t="n"/>
      <c r="R25" s="280" t="n"/>
      <c r="S25" s="280" t="n"/>
      <c r="T25" s="280" t="n"/>
      <c r="U25" s="280" t="n"/>
      <c r="V25" s="280" t="n"/>
      <c r="W25" s="280" t="n"/>
      <c r="X25" s="280" t="n"/>
    </row>
    <row r="26" ht="15.75" customHeight="1" s="377" thickBot="1">
      <c r="C26" s="174" t="inlineStr">
        <is>
          <t>Basic Shares Outstanding</t>
        </is>
      </c>
      <c r="D26" s="518" t="n">
        <v>498</v>
      </c>
      <c r="E26" s="518" t="n">
        <v>494</v>
      </c>
      <c r="F26" s="518" t="n">
        <v>491</v>
      </c>
      <c r="G26" s="518" t="n">
        <v>486</v>
      </c>
      <c r="H26" s="518" t="n">
        <v>481</v>
      </c>
      <c r="I26" s="518" t="n">
        <v>477</v>
      </c>
      <c r="J26" s="518" t="n">
        <v>470</v>
      </c>
      <c r="K26" s="518" t="n">
        <v>457</v>
      </c>
      <c r="L26" s="518" t="n">
        <v>447</v>
      </c>
      <c r="M26" s="518" t="n">
        <v>426</v>
      </c>
      <c r="O26" s="280" t="n"/>
      <c r="P26" s="280" t="n"/>
      <c r="Q26" s="280" t="n"/>
      <c r="R26" s="280" t="n"/>
      <c r="S26" s="280" t="n"/>
      <c r="T26" s="280" t="n"/>
      <c r="U26" s="280" t="n"/>
      <c r="V26" s="280" t="n"/>
      <c r="W26" s="280" t="n"/>
      <c r="X26" s="280" t="n"/>
    </row>
    <row r="27" ht="27" customHeight="1" s="377" thickBot="1">
      <c r="C27" s="160" t="inlineStr">
        <is>
          <t>Shares Outstanding</t>
        </is>
      </c>
      <c r="D27" s="519" t="n">
        <v>504</v>
      </c>
      <c r="E27" s="519" t="n">
        <v>501</v>
      </c>
      <c r="F27" s="519" t="n">
        <v>498</v>
      </c>
      <c r="G27" s="519" t="n">
        <v>492</v>
      </c>
      <c r="H27" s="519" t="n">
        <v>485</v>
      </c>
      <c r="I27" s="519" t="n">
        <v>481</v>
      </c>
      <c r="J27" s="519" t="n">
        <v>471</v>
      </c>
      <c r="K27" s="519" t="n">
        <v>459</v>
      </c>
      <c r="L27" s="516" t="n">
        <v>450</v>
      </c>
      <c r="M27" s="516" t="n">
        <v>427</v>
      </c>
      <c r="O27" s="280" t="n"/>
      <c r="P27" s="280" t="n"/>
      <c r="Q27" s="280" t="n"/>
      <c r="R27" s="280" t="n"/>
      <c r="S27" s="280" t="n"/>
      <c r="T27" s="280" t="n"/>
      <c r="U27" s="280" t="n"/>
      <c r="V27" s="280" t="n"/>
      <c r="W27" s="280" t="n"/>
      <c r="X27" s="280" t="n"/>
    </row>
    <row r="28" ht="15.75" customHeight="1" s="377" thickBot="1">
      <c r="C28" s="159" t="inlineStr">
        <is>
          <t>Basic EPS</t>
        </is>
      </c>
      <c r="D28" s="166" t="n">
        <v>2.35</v>
      </c>
      <c r="E28" s="166" t="n">
        <v>3.43</v>
      </c>
      <c r="F28" s="166" t="n">
        <v>5.28</v>
      </c>
      <c r="G28" s="166" t="n">
        <v>6.07</v>
      </c>
      <c r="H28" s="166" t="n">
        <v>10.94</v>
      </c>
      <c r="I28" s="166" t="n">
        <v>10.1</v>
      </c>
      <c r="J28" s="166" t="n">
        <v>10.13</v>
      </c>
      <c r="K28" s="166" t="n">
        <v>11.87</v>
      </c>
      <c r="L28" s="166" t="n">
        <v>12.43</v>
      </c>
      <c r="M28" s="166" t="n">
        <v>16.73</v>
      </c>
      <c r="O28" s="280" t="n"/>
      <c r="P28" s="280" t="n"/>
      <c r="Q28" s="280" t="n"/>
      <c r="R28" s="280" t="n"/>
      <c r="S28" s="280" t="n"/>
      <c r="T28" s="280" t="n"/>
      <c r="U28" s="280" t="n"/>
      <c r="V28" s="280" t="n"/>
      <c r="W28" s="280" t="n"/>
      <c r="X28" s="280" t="n"/>
    </row>
    <row r="29" ht="15.75" customHeight="1" s="377" thickBot="1">
      <c r="C29" s="179" t="inlineStr">
        <is>
          <t>EPS - Earnings Per Share</t>
        </is>
      </c>
      <c r="D29" s="180" t="n">
        <v>2.32</v>
      </c>
      <c r="E29" s="180" t="n">
        <v>3.38</v>
      </c>
      <c r="F29" s="180" t="n">
        <v>5.2</v>
      </c>
      <c r="G29" s="180" t="n">
        <v>6</v>
      </c>
      <c r="H29" s="180" t="n">
        <v>10.83</v>
      </c>
      <c r="I29" s="180" t="n">
        <v>10.02</v>
      </c>
      <c r="J29" s="180" t="n">
        <v>10.1</v>
      </c>
      <c r="K29" s="180" t="n">
        <v>11.82</v>
      </c>
      <c r="L29" s="180" t="n">
        <v>12.36</v>
      </c>
      <c r="M29" s="180" t="n">
        <v>16.7</v>
      </c>
      <c r="O29" s="280" t="n"/>
      <c r="P29" s="280" t="n"/>
      <c r="Q29" s="280" t="n"/>
      <c r="R29" s="280" t="n"/>
      <c r="S29" s="280" t="n"/>
      <c r="T29" s="280" t="n"/>
      <c r="U29" s="280" t="n"/>
      <c r="V29" s="280" t="n"/>
      <c r="W29" s="280" t="n"/>
      <c r="X29" s="280" t="n"/>
    </row>
    <row r="30" ht="15.75" customHeight="1" s="377" thickBot="1" thickTop="1">
      <c r="L30" s="161" t="n"/>
      <c r="M30" s="161" t="n"/>
      <c r="O30" s="280" t="n"/>
      <c r="P30" s="280" t="n"/>
      <c r="Q30" s="280" t="n"/>
      <c r="R30" s="280" t="n"/>
      <c r="S30" s="280" t="n"/>
      <c r="T30" s="280" t="n"/>
      <c r="U30" s="280" t="n"/>
      <c r="V30" s="280" t="n"/>
      <c r="W30" s="280" t="n"/>
      <c r="X30" s="280" t="n"/>
    </row>
    <row r="31">
      <c r="O31" s="280" t="n"/>
    </row>
  </sheetData>
  <mergeCells count="9">
    <mergeCell ref="V30:V31"/>
    <mergeCell ref="T30:T31"/>
    <mergeCell ref="X30:X31"/>
    <mergeCell ref="Q30:Q31"/>
    <mergeCell ref="P30:P31"/>
    <mergeCell ref="U30:U31"/>
    <mergeCell ref="R30:R31"/>
    <mergeCell ref="S30:S31"/>
    <mergeCell ref="W30:W31"/>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C4:Y28"/>
  <sheetViews>
    <sheetView zoomScale="70" zoomScaleNormal="70" workbookViewId="0">
      <selection activeCell="G47" sqref="G47"/>
    </sheetView>
  </sheetViews>
  <sheetFormatPr baseColWidth="10" defaultColWidth="11.42578125" defaultRowHeight="15"/>
  <cols>
    <col width="43.85546875" customWidth="1" style="377" min="3" max="3"/>
    <col width="13.28515625" customWidth="1" style="377" min="4" max="13"/>
  </cols>
  <sheetData>
    <row r="4" ht="30" customHeight="1" s="377" thickBot="1">
      <c r="C4" s="184" t="inlineStr">
        <is>
          <t>Annual Data | Millions of US  except per share data</t>
        </is>
      </c>
      <c r="D4" s="170" t="n">
        <v>2016</v>
      </c>
      <c r="E4" s="170" t="n">
        <v>2017</v>
      </c>
      <c r="F4" s="170" t="n">
        <v>2018</v>
      </c>
      <c r="G4" s="170" t="n">
        <v>2019</v>
      </c>
      <c r="H4" s="170" t="n">
        <v>2020</v>
      </c>
      <c r="I4" s="170" t="n">
        <v>2021</v>
      </c>
      <c r="J4" s="170" t="n">
        <v>2022</v>
      </c>
      <c r="K4" s="170" t="n">
        <v>2023</v>
      </c>
      <c r="L4" s="170" t="n">
        <v>2024</v>
      </c>
      <c r="M4" s="170" t="n">
        <v>2025</v>
      </c>
      <c r="O4" s="280" t="n"/>
      <c r="P4" s="280" t="n"/>
      <c r="Q4" s="514" t="n"/>
      <c r="R4" s="514" t="n"/>
      <c r="S4" s="514" t="n"/>
      <c r="T4" s="514" t="n"/>
      <c r="U4" s="514" t="n"/>
      <c r="V4" s="514" t="n"/>
      <c r="W4" s="514" t="n"/>
      <c r="X4" s="514" t="n"/>
      <c r="Y4" s="280" t="n"/>
    </row>
    <row r="5">
      <c r="C5" s="174" t="inlineStr">
        <is>
          <t>Cash On Hand</t>
        </is>
      </c>
      <c r="D5" s="522" t="n">
        <v>4761.3</v>
      </c>
      <c r="E5" s="522" t="n">
        <v>5819.774</v>
      </c>
      <c r="F5" s="522" t="n">
        <v>3228.962</v>
      </c>
      <c r="G5" s="522" t="n">
        <v>4177</v>
      </c>
      <c r="H5" s="522" t="n">
        <v>5992</v>
      </c>
      <c r="I5" s="522" t="n">
        <v>5798</v>
      </c>
      <c r="J5" s="522" t="n">
        <v>6096</v>
      </c>
      <c r="K5" s="522" t="n">
        <v>7842</v>
      </c>
      <c r="L5" s="522" t="n">
        <v>7886</v>
      </c>
      <c r="M5" s="522" t="n">
        <v>6595</v>
      </c>
      <c r="O5" s="280" t="n"/>
      <c r="P5" s="280" t="n"/>
      <c r="Q5" s="280" t="n"/>
      <c r="R5" s="280" t="n"/>
      <c r="S5" s="280" t="n"/>
      <c r="T5" s="280" t="n"/>
      <c r="U5" s="280" t="n"/>
      <c r="V5" s="280" t="n"/>
      <c r="W5" s="280" t="n"/>
      <c r="X5" s="280" t="n"/>
    </row>
    <row r="6">
      <c r="C6" s="159" t="inlineStr">
        <is>
          <t>Receivables</t>
        </is>
      </c>
      <c r="D6" s="523" t="n">
        <v>833.033</v>
      </c>
      <c r="E6" s="523" t="n">
        <v>1217.968</v>
      </c>
      <c r="F6" s="523" t="n">
        <v>1315.578</v>
      </c>
      <c r="G6" s="523" t="n">
        <v>1535</v>
      </c>
      <c r="H6" s="523" t="n">
        <v>1398</v>
      </c>
      <c r="I6" s="523" t="n">
        <v>1878</v>
      </c>
      <c r="J6" s="523" t="n">
        <v>2065</v>
      </c>
      <c r="K6" s="523" t="n">
        <v>2224</v>
      </c>
      <c r="L6" s="523" t="n">
        <v>2072</v>
      </c>
      <c r="M6" s="523" t="n">
        <v>2344</v>
      </c>
      <c r="O6" s="280" t="n"/>
      <c r="P6" s="280" t="n"/>
      <c r="Q6" s="280" t="n"/>
      <c r="R6" s="280" t="n"/>
      <c r="S6" s="280" t="n"/>
      <c r="T6" s="280" t="n"/>
      <c r="U6" s="280" t="n"/>
      <c r="V6" s="280" t="n"/>
      <c r="W6" s="280" t="n"/>
      <c r="X6" s="280" t="n"/>
    </row>
    <row r="7">
      <c r="C7" s="159" t="inlineStr">
        <is>
          <t>Inventory</t>
        </is>
      </c>
      <c r="D7" s="523" t="n"/>
      <c r="E7" s="523" t="n"/>
      <c r="F7" s="523" t="n"/>
      <c r="G7" s="523" t="n"/>
      <c r="H7" s="523" t="n"/>
      <c r="I7" s="523" t="n"/>
      <c r="J7" s="523" t="n"/>
      <c r="K7" s="523" t="n"/>
      <c r="L7" s="523" t="n"/>
      <c r="M7" s="523" t="n"/>
      <c r="O7" s="280" t="n"/>
      <c r="P7" s="280" t="n"/>
      <c r="Q7" s="280" t="n"/>
      <c r="R7" s="280" t="n"/>
      <c r="S7" s="280" t="n"/>
      <c r="T7" s="280" t="n"/>
      <c r="U7" s="280" t="n"/>
      <c r="V7" s="280" t="n"/>
      <c r="W7" s="280" t="n"/>
      <c r="X7" s="280" t="n"/>
    </row>
    <row r="8">
      <c r="C8" s="159" t="inlineStr">
        <is>
          <t>Pre-Paid Expenses</t>
        </is>
      </c>
      <c r="D8" s="523" t="n">
        <v>245.441</v>
      </c>
      <c r="E8" s="523" t="n">
        <v>210.071</v>
      </c>
      <c r="F8" s="523" t="n">
        <v>312.499</v>
      </c>
      <c r="G8" s="523" t="n">
        <v>783</v>
      </c>
      <c r="H8" s="523" t="n">
        <v>756</v>
      </c>
      <c r="I8" s="523" t="n">
        <v>993</v>
      </c>
      <c r="J8" s="523" t="n">
        <v>835</v>
      </c>
      <c r="K8" s="523" t="n">
        <v>1018</v>
      </c>
      <c r="L8" s="523" t="n">
        <v>1274</v>
      </c>
      <c r="M8" s="523" t="n">
        <v>1224</v>
      </c>
      <c r="O8" s="280" t="n"/>
      <c r="P8" s="280" t="n"/>
      <c r="Q8" s="280" t="n"/>
      <c r="R8" s="280" t="n"/>
      <c r="S8" s="280" t="n"/>
      <c r="T8" s="280" t="n"/>
      <c r="U8" s="280" t="n"/>
      <c r="V8" s="280" t="n"/>
      <c r="W8" s="280" t="n"/>
      <c r="X8" s="280" t="n"/>
    </row>
    <row r="9">
      <c r="C9" s="173" t="inlineStr">
        <is>
          <t>Other Current Assets</t>
        </is>
      </c>
      <c r="D9" s="524" t="n"/>
      <c r="E9" s="524" t="n"/>
      <c r="F9" s="524" t="n"/>
      <c r="G9" s="524" t="n"/>
      <c r="H9" s="524" t="n"/>
      <c r="I9" s="524" t="n"/>
      <c r="J9" s="524" t="n"/>
      <c r="K9" s="524" t="n"/>
      <c r="L9" s="524" t="n"/>
      <c r="M9" s="524" t="n"/>
      <c r="O9" s="280" t="n"/>
      <c r="P9" s="280" t="n"/>
      <c r="Q9" s="280" t="n"/>
      <c r="R9" s="280" t="n"/>
      <c r="S9" s="280" t="n"/>
      <c r="T9" s="280" t="n"/>
      <c r="U9" s="280" t="n"/>
      <c r="V9" s="280" t="n"/>
      <c r="W9" s="280" t="n"/>
      <c r="X9" s="280" t="n"/>
    </row>
    <row r="10">
      <c r="C10" s="167" t="inlineStr">
        <is>
          <t>Total Current Assets</t>
        </is>
      </c>
      <c r="D10" s="525" t="n">
        <v>5839.774</v>
      </c>
      <c r="E10" s="525" t="n">
        <v>7247.813</v>
      </c>
      <c r="F10" s="525" t="n">
        <v>4857.039</v>
      </c>
      <c r="G10" s="525" t="n">
        <v>6495</v>
      </c>
      <c r="H10" s="525" t="n">
        <v>8146</v>
      </c>
      <c r="I10" s="525" t="n">
        <v>8669</v>
      </c>
      <c r="J10" s="525" t="n">
        <v>8996</v>
      </c>
      <c r="K10" s="525" t="n">
        <v>11084</v>
      </c>
      <c r="L10" s="525" t="n">
        <v>11232</v>
      </c>
      <c r="M10" s="525" t="n">
        <v>10163</v>
      </c>
      <c r="O10" s="280" t="n"/>
      <c r="P10" s="280" t="n"/>
      <c r="Q10" s="280" t="n"/>
      <c r="R10" s="280" t="n"/>
      <c r="S10" s="280" t="n"/>
      <c r="T10" s="280" t="n"/>
      <c r="U10" s="280" t="n"/>
      <c r="V10" s="280" t="n"/>
      <c r="W10" s="280" t="n"/>
      <c r="X10" s="280" t="n"/>
    </row>
    <row r="11">
      <c r="C11" s="174" t="inlineStr">
        <is>
          <t>Property, Plant, And Equipment</t>
        </is>
      </c>
      <c r="D11" s="522" t="n">
        <v>816.264</v>
      </c>
      <c r="E11" s="522" t="n">
        <v>936.976</v>
      </c>
      <c r="F11" s="522" t="n">
        <v>1075.072</v>
      </c>
      <c r="G11" s="522" t="n">
        <v>1293</v>
      </c>
      <c r="H11" s="522" t="n">
        <v>1517</v>
      </c>
      <c r="I11" s="522" t="n">
        <v>1673</v>
      </c>
      <c r="J11" s="522" t="n">
        <v>1908</v>
      </c>
      <c r="K11" s="522" t="n">
        <v>2030</v>
      </c>
      <c r="L11" s="522" t="n">
        <v>1936</v>
      </c>
      <c r="M11" s="522" t="n">
        <v>1873</v>
      </c>
      <c r="O11" s="280" t="n"/>
      <c r="P11" s="280" t="n"/>
      <c r="Q11" s="280" t="n"/>
      <c r="R11" s="280" t="n"/>
      <c r="S11" s="280" t="n"/>
      <c r="T11" s="280" t="n"/>
      <c r="U11" s="280" t="n"/>
      <c r="V11" s="280" t="n"/>
      <c r="W11" s="280" t="n"/>
      <c r="X11" s="280" t="n"/>
    </row>
    <row r="12">
      <c r="C12" s="159" t="inlineStr">
        <is>
          <t>Long-Term Investments</t>
        </is>
      </c>
      <c r="D12" s="523" t="n">
        <v>80.43899999999999</v>
      </c>
      <c r="E12" s="523" t="n"/>
      <c r="F12" s="523" t="n"/>
      <c r="G12" s="523" t="n"/>
      <c r="H12" s="523" t="n"/>
      <c r="I12" s="523" t="n"/>
      <c r="J12" s="523" t="n"/>
      <c r="K12" s="523" t="n"/>
      <c r="L12" s="523" t="n"/>
      <c r="M12" s="523" t="n">
        <v>80.43899999999999</v>
      </c>
      <c r="O12" s="280" t="n"/>
      <c r="P12" s="280" t="n"/>
      <c r="Q12" s="280" t="n"/>
      <c r="R12" s="280" t="n"/>
      <c r="S12" s="280" t="n"/>
      <c r="T12" s="280" t="n"/>
      <c r="U12" s="280" t="n"/>
      <c r="V12" s="280" t="n"/>
      <c r="W12" s="280" t="n"/>
      <c r="X12" s="280" t="n"/>
    </row>
    <row r="13">
      <c r="C13" s="159" t="inlineStr">
        <is>
          <t>Goodwill And Intangible Assets</t>
        </is>
      </c>
      <c r="D13" s="523" t="n">
        <v>5820.879</v>
      </c>
      <c r="E13" s="523" t="n">
        <v>6207.219</v>
      </c>
      <c r="F13" s="523" t="n">
        <v>12650.05</v>
      </c>
      <c r="G13" s="523" t="n">
        <v>12412</v>
      </c>
      <c r="H13" s="523" t="n">
        <v>12101</v>
      </c>
      <c r="I13" s="523" t="n">
        <v>14488</v>
      </c>
      <c r="J13" s="523" t="n">
        <v>14236</v>
      </c>
      <c r="K13" s="523" t="n">
        <v>13893</v>
      </c>
      <c r="L13" s="523" t="n">
        <v>13570</v>
      </c>
      <c r="M13" s="523" t="n">
        <v>13352</v>
      </c>
      <c r="O13" s="280" t="n"/>
      <c r="P13" s="280" t="n"/>
      <c r="Q13" s="280" t="n"/>
      <c r="R13" s="280" t="n"/>
      <c r="S13" s="280" t="n"/>
      <c r="T13" s="280" t="n"/>
      <c r="U13" s="280" t="n"/>
      <c r="V13" s="280" t="n"/>
      <c r="W13" s="280" t="n"/>
      <c r="X13" s="280" t="n"/>
    </row>
    <row r="14">
      <c r="C14" s="173" t="inlineStr">
        <is>
          <t>Other Long-Term Assets</t>
        </is>
      </c>
      <c r="D14" s="524" t="n">
        <v>139.89</v>
      </c>
      <c r="E14" s="524" t="n">
        <v>143.548</v>
      </c>
      <c r="F14" s="524" t="n">
        <v>186.522</v>
      </c>
      <c r="G14" s="524" t="n">
        <v>562</v>
      </c>
      <c r="H14" s="524" t="n">
        <v>663</v>
      </c>
      <c r="I14" s="524" t="n">
        <v>883</v>
      </c>
      <c r="J14" s="524" t="n">
        <v>841</v>
      </c>
      <c r="K14" s="524" t="n">
        <v>1223</v>
      </c>
      <c r="L14" s="524" t="n">
        <v>1554</v>
      </c>
      <c r="M14" s="524" t="n">
        <v>1610</v>
      </c>
      <c r="O14" s="280" t="n"/>
      <c r="P14" s="280" t="n"/>
      <c r="Q14" s="280" t="n"/>
      <c r="R14" s="280" t="n"/>
      <c r="S14" s="280" t="n"/>
      <c r="T14" s="280" t="n"/>
      <c r="U14" s="280" t="n"/>
      <c r="V14" s="280" t="n"/>
      <c r="W14" s="280" t="n"/>
      <c r="X14" s="280" t="n"/>
    </row>
    <row r="15">
      <c r="C15" s="186" t="inlineStr">
        <is>
          <t>Total Long-Term Assets</t>
        </is>
      </c>
      <c r="D15" s="526" t="n">
        <v>6857.472</v>
      </c>
      <c r="E15" s="526" t="n">
        <v>7287.743</v>
      </c>
      <c r="F15" s="526" t="n">
        <v>13911.64</v>
      </c>
      <c r="G15" s="526" t="n">
        <v>14267</v>
      </c>
      <c r="H15" s="526" t="n">
        <v>16138</v>
      </c>
      <c r="I15" s="526" t="n">
        <v>18572</v>
      </c>
      <c r="J15" s="526" t="n">
        <v>18169</v>
      </c>
      <c r="K15" s="526" t="n">
        <v>18695</v>
      </c>
      <c r="L15" s="526" t="n">
        <v>18998</v>
      </c>
      <c r="M15" s="526" t="n">
        <v>19333</v>
      </c>
      <c r="O15" s="280" t="n"/>
      <c r="P15" s="280" t="n"/>
      <c r="Q15" s="280" t="n"/>
      <c r="R15" s="280" t="n"/>
      <c r="S15" s="280" t="n"/>
      <c r="T15" s="280" t="n"/>
      <c r="U15" s="280" t="n"/>
      <c r="V15" s="280" t="n"/>
      <c r="W15" s="280" t="n"/>
      <c r="X15" s="280" t="n"/>
    </row>
    <row r="16">
      <c r="C16" s="167" t="inlineStr">
        <is>
          <t>Total Assets</t>
        </is>
      </c>
      <c r="D16" s="525" t="n">
        <v>12697.25</v>
      </c>
      <c r="E16" s="525" t="n">
        <v>14535.56</v>
      </c>
      <c r="F16" s="525" t="n">
        <v>18768.68</v>
      </c>
      <c r="G16" s="525" t="n">
        <v>20762</v>
      </c>
      <c r="H16" s="525" t="n">
        <v>24284</v>
      </c>
      <c r="I16" s="525" t="n">
        <v>27241</v>
      </c>
      <c r="J16" s="525" t="n">
        <v>27165</v>
      </c>
      <c r="K16" s="525" t="n">
        <v>29779</v>
      </c>
      <c r="L16" s="525" t="n">
        <v>30230</v>
      </c>
      <c r="M16" s="525" t="n">
        <v>29496</v>
      </c>
      <c r="O16" s="280" t="n"/>
      <c r="P16" s="280" t="n"/>
      <c r="Q16" s="280" t="n"/>
      <c r="R16" s="280" t="n"/>
      <c r="S16" s="280" t="n"/>
      <c r="T16" s="280" t="n"/>
      <c r="U16" s="280" t="n"/>
      <c r="V16" s="280" t="n"/>
      <c r="W16" s="280" t="n"/>
      <c r="X16" s="280" t="n"/>
      <c r="Y16" s="280" t="n"/>
    </row>
    <row r="17">
      <c r="C17" s="174" t="inlineStr">
        <is>
          <t>Total Current Liabilities</t>
        </is>
      </c>
      <c r="D17" s="522" t="n">
        <v>2811.635</v>
      </c>
      <c r="E17" s="522" t="n">
        <v>3527.457</v>
      </c>
      <c r="F17" s="522" t="n">
        <v>4301.126</v>
      </c>
      <c r="G17" s="522" t="n">
        <v>8191</v>
      </c>
      <c r="H17" s="522" t="n">
        <v>5512</v>
      </c>
      <c r="I17" s="522" t="n">
        <v>6932</v>
      </c>
      <c r="J17" s="522" t="n">
        <v>8128</v>
      </c>
      <c r="K17" s="522" t="n">
        <v>8251</v>
      </c>
      <c r="L17" s="522" t="n">
        <v>10521</v>
      </c>
      <c r="M17" s="522" t="n">
        <v>10200</v>
      </c>
      <c r="O17" s="280" t="n"/>
      <c r="P17" s="280" t="n"/>
      <c r="Q17" s="280" t="n"/>
      <c r="R17" s="280" t="n"/>
      <c r="S17" s="280" t="n"/>
      <c r="T17" s="280" t="n"/>
      <c r="U17" s="280" t="n"/>
      <c r="V17" s="280" t="n"/>
      <c r="W17" s="280" t="n"/>
      <c r="X17" s="280" t="n"/>
    </row>
    <row r="18">
      <c r="C18" s="159" t="inlineStr">
        <is>
          <t>Long Term Debt</t>
        </is>
      </c>
      <c r="D18" s="523" t="n">
        <v>1892.2</v>
      </c>
      <c r="E18" s="523" t="n">
        <v>1881.421</v>
      </c>
      <c r="F18" s="523" t="n">
        <v>4124.8</v>
      </c>
      <c r="G18" s="523" t="n">
        <v>989</v>
      </c>
      <c r="H18" s="523" t="n">
        <v>4117</v>
      </c>
      <c r="I18" s="523" t="n">
        <v>4123</v>
      </c>
      <c r="J18" s="523" t="n">
        <v>3629</v>
      </c>
      <c r="K18" s="523" t="n">
        <v>3634</v>
      </c>
      <c r="L18" s="523" t="n">
        <v>4129</v>
      </c>
      <c r="M18" s="523" t="n">
        <v>6210</v>
      </c>
      <c r="O18" s="280" t="n"/>
      <c r="P18" s="280" t="n"/>
      <c r="Q18" s="280" t="n"/>
      <c r="R18" s="280" t="n"/>
      <c r="S18" s="280" t="n"/>
      <c r="T18" s="280" t="n"/>
      <c r="U18" s="280" t="n"/>
      <c r="V18" s="280" t="n"/>
      <c r="W18" s="280" t="n"/>
      <c r="X18" s="280" t="n"/>
    </row>
    <row r="19">
      <c r="C19" s="173" t="inlineStr">
        <is>
          <t>Other Non-Current Liabilities</t>
        </is>
      </c>
      <c r="D19" s="524" t="n">
        <v>281.785</v>
      </c>
      <c r="E19" s="524" t="n">
        <v>298.276</v>
      </c>
      <c r="F19" s="524" t="n">
        <v>796.3099999999999</v>
      </c>
      <c r="G19" s="524" t="n">
        <v>789</v>
      </c>
      <c r="H19" s="524" t="n">
        <v>752</v>
      </c>
      <c r="I19" s="524" t="n">
        <v>791</v>
      </c>
      <c r="J19" s="524" t="n">
        <v>823</v>
      </c>
      <c r="K19" s="524" t="n">
        <v>890</v>
      </c>
      <c r="L19" s="524" t="n">
        <v>994</v>
      </c>
      <c r="M19" s="524" t="n">
        <v>977</v>
      </c>
      <c r="O19" s="280" t="n"/>
      <c r="P19" s="280" t="n"/>
      <c r="Q19" s="280" t="n"/>
      <c r="R19" s="280" t="n"/>
      <c r="S19" s="280" t="n"/>
      <c r="T19" s="280" t="n"/>
      <c r="U19" s="280" t="n"/>
      <c r="V19" s="280" t="n"/>
      <c r="W19" s="280" t="n"/>
      <c r="X19" s="280" t="n"/>
    </row>
    <row r="20">
      <c r="C20" s="186" t="inlineStr">
        <is>
          <t>Total Long Term Liabilities</t>
        </is>
      </c>
      <c r="D20" s="526" t="n">
        <v>2460.776</v>
      </c>
      <c r="E20" s="526" t="n">
        <v>2548.23</v>
      </c>
      <c r="F20" s="526" t="n">
        <v>5105.442</v>
      </c>
      <c r="G20" s="526" t="n">
        <v>2041</v>
      </c>
      <c r="H20" s="526" t="n">
        <v>5508</v>
      </c>
      <c r="I20" s="526" t="n">
        <v>5512</v>
      </c>
      <c r="J20" s="526" t="n">
        <v>4986</v>
      </c>
      <c r="K20" s="526" t="n">
        <v>5010</v>
      </c>
      <c r="L20" s="526" t="n">
        <v>5604</v>
      </c>
      <c r="M20" s="526" t="n">
        <v>7673</v>
      </c>
      <c r="O20" s="280" t="n"/>
      <c r="P20" s="280" t="n"/>
      <c r="Q20" s="280" t="n"/>
      <c r="R20" s="280" t="n"/>
      <c r="S20" s="280" t="n"/>
      <c r="T20" s="280" t="n"/>
      <c r="U20" s="280" t="n"/>
      <c r="V20" s="280" t="n"/>
      <c r="W20" s="280" t="n"/>
      <c r="X20" s="280" t="n"/>
    </row>
    <row r="21">
      <c r="C21" s="167" t="inlineStr">
        <is>
          <t>Total Liabilities</t>
        </is>
      </c>
      <c r="D21" s="525" t="n">
        <v>5272.411</v>
      </c>
      <c r="E21" s="525" t="n">
        <v>6075.687</v>
      </c>
      <c r="F21" s="525" t="n">
        <v>9406.567999999999</v>
      </c>
      <c r="G21" s="525" t="n">
        <v>10232</v>
      </c>
      <c r="H21" s="525" t="n">
        <v>11020</v>
      </c>
      <c r="I21" s="525" t="n">
        <v>12444</v>
      </c>
      <c r="J21" s="525" t="n">
        <v>13114</v>
      </c>
      <c r="K21" s="525" t="n">
        <v>13261</v>
      </c>
      <c r="L21" s="525" t="n">
        <v>16125</v>
      </c>
      <c r="M21" s="525" t="n">
        <v>17873</v>
      </c>
      <c r="O21" s="280" t="n"/>
      <c r="P21" s="280" t="n"/>
      <c r="Q21" s="280" t="n"/>
      <c r="R21" s="280" t="n"/>
      <c r="S21" s="280" t="n"/>
      <c r="T21" s="280" t="n"/>
      <c r="U21" s="280" t="n"/>
      <c r="V21" s="280" t="n"/>
      <c r="W21" s="280" t="n"/>
      <c r="X21" s="280" t="n"/>
    </row>
    <row r="22">
      <c r="C22" s="174" t="inlineStr">
        <is>
          <t>Common Stock Net</t>
        </is>
      </c>
      <c r="D22" s="522" t="n">
        <v>0.061</v>
      </c>
      <c r="E22" s="522" t="n">
        <v>0.061</v>
      </c>
      <c r="F22" s="522" t="n">
        <v>0.061</v>
      </c>
      <c r="G22" s="522" t="n"/>
      <c r="H22" s="522" t="n"/>
      <c r="I22" s="522" t="n"/>
      <c r="J22" s="522" t="n"/>
      <c r="K22" s="522" t="n"/>
      <c r="L22" s="522" t="n"/>
      <c r="M22" s="522" t="n"/>
      <c r="O22" s="280" t="n"/>
      <c r="P22" s="280" t="n"/>
      <c r="Q22" s="280" t="n"/>
      <c r="R22" s="280" t="n"/>
      <c r="S22" s="280" t="n"/>
      <c r="T22" s="280" t="n"/>
      <c r="U22" s="280" t="n"/>
      <c r="V22" s="280" t="n"/>
      <c r="W22" s="280" t="n"/>
      <c r="X22" s="280" t="n"/>
    </row>
    <row r="23">
      <c r="C23" s="159" t="inlineStr">
        <is>
          <t>Retained Earnings (Accumulated Deficit)</t>
        </is>
      </c>
      <c r="D23" s="523" t="n">
        <v>8114.517</v>
      </c>
      <c r="E23" s="523" t="n">
        <v>9573.870000000001</v>
      </c>
      <c r="F23" s="523" t="n">
        <v>11815.6</v>
      </c>
      <c r="G23" s="523" t="n">
        <v>14829</v>
      </c>
      <c r="H23" s="523" t="n">
        <v>19611</v>
      </c>
      <c r="I23" s="523" t="n">
        <v>23905</v>
      </c>
      <c r="J23" s="523" t="n">
        <v>28319</v>
      </c>
      <c r="K23" s="523" t="n">
        <v>33346</v>
      </c>
      <c r="L23" s="523" t="n">
        <v>38470</v>
      </c>
      <c r="M23" s="523" t="n">
        <v>45354</v>
      </c>
      <c r="O23" s="280" t="n"/>
      <c r="P23" s="280" t="n"/>
      <c r="Q23" s="280" t="n"/>
      <c r="R23" s="280" t="n"/>
      <c r="S23" s="280" t="n"/>
      <c r="T23" s="280" t="n"/>
      <c r="U23" s="280" t="n"/>
      <c r="V23" s="280" t="n"/>
      <c r="W23" s="280" t="n"/>
      <c r="X23" s="280" t="n"/>
    </row>
    <row r="24">
      <c r="C24" s="159" t="inlineStr">
        <is>
          <t>Comprehensive Income</t>
        </is>
      </c>
      <c r="D24" s="523" t="n">
        <v>-173.602</v>
      </c>
      <c r="E24" s="523" t="n">
        <v>-111.821</v>
      </c>
      <c r="F24" s="523" t="n">
        <v>-148.13</v>
      </c>
      <c r="G24" s="523" t="n">
        <v>-188</v>
      </c>
      <c r="H24" s="523" t="n">
        <v>-158</v>
      </c>
      <c r="I24" s="523" t="n">
        <v>-137</v>
      </c>
      <c r="J24" s="523" t="n">
        <v>-293</v>
      </c>
      <c r="K24" s="523" t="n">
        <v>-285</v>
      </c>
      <c r="L24" s="523" t="n">
        <v>-201</v>
      </c>
      <c r="M24" s="523" t="n">
        <v>-245</v>
      </c>
      <c r="O24" s="280" t="n"/>
      <c r="P24" s="280" t="n"/>
      <c r="Q24" s="280" t="n"/>
      <c r="R24" s="280" t="n"/>
      <c r="S24" s="280" t="n"/>
      <c r="T24" s="280" t="n"/>
      <c r="U24" s="280" t="n"/>
      <c r="V24" s="280" t="n"/>
      <c r="W24" s="280" t="n"/>
      <c r="X24" s="280" t="n"/>
    </row>
    <row r="25">
      <c r="C25" s="173" t="inlineStr">
        <is>
          <t>Other Share Holders Equity</t>
        </is>
      </c>
      <c r="D25" s="524" t="n"/>
      <c r="E25" s="524" t="n"/>
      <c r="F25" s="524" t="n"/>
      <c r="G25" s="524" t="n"/>
      <c r="H25" s="524" t="n"/>
      <c r="I25" s="524" t="n"/>
      <c r="J25" s="524" t="n"/>
      <c r="K25" s="524" t="n"/>
      <c r="L25" s="524" t="n"/>
      <c r="M25" s="524" t="n"/>
      <c r="O25" s="280" t="n"/>
      <c r="P25" s="280" t="n"/>
      <c r="Q25" s="280" t="n"/>
      <c r="R25" s="280" t="n"/>
      <c r="S25" s="280" t="n"/>
      <c r="T25" s="280" t="n"/>
      <c r="U25" s="280" t="n"/>
      <c r="V25" s="280" t="n"/>
      <c r="W25" s="280" t="n"/>
      <c r="X25" s="280" t="n"/>
    </row>
    <row r="26">
      <c r="C26" s="186" t="inlineStr">
        <is>
          <t>Share Holder Equity</t>
        </is>
      </c>
      <c r="D26" s="526" t="n">
        <v>7424.835</v>
      </c>
      <c r="E26" s="526" t="n">
        <v>8459.869000000001</v>
      </c>
      <c r="F26" s="526" t="n">
        <v>9362.114</v>
      </c>
      <c r="G26" s="526" t="n">
        <v>10530</v>
      </c>
      <c r="H26" s="526" t="n">
        <v>13264</v>
      </c>
      <c r="I26" s="526" t="n">
        <v>14797</v>
      </c>
      <c r="J26" s="526" t="n">
        <v>14051</v>
      </c>
      <c r="K26" s="526" t="n">
        <v>16518</v>
      </c>
      <c r="L26" s="526" t="n">
        <v>14105</v>
      </c>
      <c r="M26" s="526" t="n">
        <v>11623</v>
      </c>
      <c r="O26" s="280" t="n"/>
      <c r="P26" s="280" t="n"/>
      <c r="Q26" s="280" t="n"/>
      <c r="R26" s="280" t="n"/>
      <c r="S26" s="280" t="n"/>
      <c r="T26" s="280" t="n"/>
      <c r="U26" s="280" t="n"/>
      <c r="V26" s="280" t="n"/>
      <c r="W26" s="280" t="n"/>
      <c r="X26" s="280" t="n"/>
      <c r="Y26" s="280" t="n"/>
    </row>
    <row r="27" ht="30.75" customHeight="1" s="377" thickBot="1">
      <c r="C27" s="188" t="inlineStr">
        <is>
          <t>Total Liabilities And Share Holders Equity</t>
        </is>
      </c>
      <c r="D27" s="527" t="n">
        <v>12697.25</v>
      </c>
      <c r="E27" s="527" t="n">
        <v>14535.56</v>
      </c>
      <c r="F27" s="527" t="n">
        <v>18768.68</v>
      </c>
      <c r="G27" s="527" t="n">
        <v>20762</v>
      </c>
      <c r="H27" s="527" t="n">
        <v>24284</v>
      </c>
      <c r="I27" s="527" t="n">
        <v>27241</v>
      </c>
      <c r="J27" s="527" t="n">
        <v>27165</v>
      </c>
      <c r="K27" s="527" t="n">
        <v>29779</v>
      </c>
      <c r="L27" s="527" t="n">
        <v>30230</v>
      </c>
      <c r="M27" s="527" t="n">
        <v>29496</v>
      </c>
      <c r="O27" s="280" t="n"/>
      <c r="P27" s="280" t="n"/>
      <c r="Q27" s="280" t="n"/>
      <c r="R27" s="280" t="n"/>
      <c r="S27" s="280" t="n"/>
      <c r="T27" s="280" t="n"/>
      <c r="U27" s="280" t="n"/>
      <c r="V27" s="280" t="n"/>
      <c r="W27" s="280" t="n"/>
      <c r="X27" s="280" t="n"/>
    </row>
    <row r="28" ht="15.75" customHeight="1" s="377" thickTop="1">
      <c r="O28" s="280" t="n"/>
      <c r="P28" s="280" t="n"/>
      <c r="Q28" s="280" t="n"/>
      <c r="R28" s="280" t="n"/>
      <c r="S28" s="280" t="n"/>
      <c r="T28" s="280" t="n"/>
      <c r="U28" s="280" t="n"/>
      <c r="V28" s="280" t="n"/>
      <c r="W28" s="280" t="n"/>
      <c r="X28" s="280" t="n"/>
    </row>
  </sheetData>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3:Y36"/>
  <sheetViews>
    <sheetView topLeftCell="A15" zoomScale="70" zoomScaleNormal="70" workbookViewId="0">
      <selection activeCell="C27" sqref="C27:M27"/>
    </sheetView>
  </sheetViews>
  <sheetFormatPr baseColWidth="10" defaultColWidth="11.42578125" defaultRowHeight="15"/>
  <cols>
    <col width="49.5703125" customWidth="1" style="377" min="3" max="3"/>
    <col width="13.28515625" customWidth="1" style="377" min="4" max="13"/>
  </cols>
  <sheetData>
    <row r="3">
      <c r="B3" s="162" t="n"/>
      <c r="C3" s="162" t="n"/>
      <c r="D3" s="162" t="n"/>
      <c r="E3" s="162" t="n"/>
      <c r="F3" s="162" t="n"/>
      <c r="G3" s="162" t="n"/>
      <c r="H3" s="162" t="n"/>
      <c r="I3" s="162" t="n"/>
      <c r="J3" s="162" t="n"/>
      <c r="K3" s="162" t="n"/>
      <c r="L3" s="162" t="n"/>
      <c r="M3" s="162" t="n"/>
    </row>
    <row r="4">
      <c r="B4" s="162" t="n"/>
      <c r="C4" s="162" t="n"/>
      <c r="D4" s="162" t="n"/>
      <c r="E4" s="162" t="n"/>
      <c r="F4" s="162" t="n"/>
      <c r="G4" s="162" t="n"/>
      <c r="H4" s="162" t="n"/>
      <c r="I4" s="162" t="n"/>
      <c r="J4" s="162" t="n"/>
      <c r="K4" s="162" t="n"/>
      <c r="L4" s="162" t="n"/>
      <c r="M4" s="162" t="n"/>
    </row>
    <row r="5" ht="83.25" customHeight="1" s="377" thickBot="1">
      <c r="B5" s="162" t="n"/>
      <c r="C5" s="184" t="inlineStr">
        <is>
          <t>Annual Data | Millions of US  except per share data</t>
        </is>
      </c>
      <c r="D5" s="170" t="n">
        <v>2016</v>
      </c>
      <c r="E5" s="170" t="n">
        <v>2017</v>
      </c>
      <c r="F5" s="170" t="n">
        <v>2018</v>
      </c>
      <c r="G5" s="170" t="n">
        <v>2019</v>
      </c>
      <c r="H5" s="170" t="n">
        <v>2020</v>
      </c>
      <c r="I5" s="170" t="n">
        <v>2021</v>
      </c>
      <c r="J5" s="170" t="n">
        <v>2022</v>
      </c>
      <c r="K5" s="170" t="n">
        <v>2023</v>
      </c>
      <c r="L5" s="170" t="n">
        <v>2024</v>
      </c>
      <c r="M5" s="170" t="n">
        <v>2025</v>
      </c>
      <c r="P5" s="280" t="n"/>
      <c r="Q5" s="514" t="n"/>
      <c r="R5" s="514" t="n"/>
      <c r="S5" s="514" t="n"/>
      <c r="T5" s="514" t="n"/>
      <c r="U5" s="514" t="n"/>
      <c r="V5" s="514" t="n"/>
      <c r="W5" s="514" t="n"/>
      <c r="X5" s="514" t="n"/>
      <c r="Y5" s="514" t="n"/>
    </row>
    <row r="6" ht="42" customHeight="1" s="377" thickBot="1">
      <c r="B6" s="162" t="n"/>
      <c r="C6" s="171" t="inlineStr">
        <is>
          <t>Net Income/Loss</t>
        </is>
      </c>
      <c r="D6" s="518" t="n">
        <v>1168.782</v>
      </c>
      <c r="E6" s="518" t="n">
        <v>1693.954</v>
      </c>
      <c r="F6" s="518" t="n">
        <v>2591</v>
      </c>
      <c r="G6" s="518" t="n">
        <v>2951</v>
      </c>
      <c r="H6" s="518" t="n">
        <v>5260</v>
      </c>
      <c r="I6" s="518" t="n">
        <v>4822</v>
      </c>
      <c r="J6" s="518" t="n">
        <v>4756</v>
      </c>
      <c r="K6" s="518" t="n">
        <v>5428</v>
      </c>
      <c r="L6" s="518" t="n">
        <v>5560</v>
      </c>
      <c r="M6" s="518" t="n">
        <v>7130</v>
      </c>
      <c r="P6" s="280" t="n"/>
      <c r="Q6" s="280" t="n"/>
      <c r="R6" s="280" t="n"/>
      <c r="S6" s="280" t="n"/>
      <c r="T6" s="280" t="n"/>
      <c r="U6" s="280" t="n"/>
      <c r="V6" s="280" t="n"/>
      <c r="W6" s="280" t="n"/>
      <c r="X6" s="280" t="n"/>
      <c r="Y6" s="280" t="n"/>
    </row>
    <row r="7" ht="83.25" customHeight="1" s="377" thickBot="1">
      <c r="B7" s="162" t="n"/>
      <c r="C7" s="159" t="inlineStr">
        <is>
          <t>Total Depreciation And Amortization - Cash Flow</t>
        </is>
      </c>
      <c r="D7" s="519" t="n">
        <v>331.535</v>
      </c>
      <c r="E7" s="519" t="n">
        <v>325.997</v>
      </c>
      <c r="F7" s="519" t="n">
        <v>346</v>
      </c>
      <c r="G7" s="519" t="n">
        <v>757</v>
      </c>
      <c r="H7" s="519" t="n">
        <v>757</v>
      </c>
      <c r="I7" s="519" t="n">
        <v>788</v>
      </c>
      <c r="J7" s="519" t="n">
        <v>856</v>
      </c>
      <c r="K7" s="519" t="n">
        <v>872</v>
      </c>
      <c r="L7" s="519" t="n">
        <v>857</v>
      </c>
      <c r="M7" s="519" t="n">
        <v>818</v>
      </c>
      <c r="P7" s="280" t="n"/>
      <c r="Q7" s="280" t="n"/>
      <c r="R7" s="280" t="n"/>
      <c r="S7" s="280" t="n"/>
      <c r="T7" s="280" t="n"/>
      <c r="U7" s="280" t="n"/>
      <c r="V7" s="280" t="n"/>
      <c r="W7" s="280" t="n"/>
      <c r="X7" s="280" t="n"/>
      <c r="Y7" s="280" t="n"/>
    </row>
    <row r="8" ht="27.75" customHeight="1" s="377">
      <c r="B8" s="162" t="n"/>
      <c r="C8" s="159" t="inlineStr">
        <is>
          <t>Other Non-Cash Items</t>
        </is>
      </c>
      <c r="D8" s="519" t="n">
        <v>303.581</v>
      </c>
      <c r="E8" s="519" t="n">
        <v>505.208</v>
      </c>
      <c r="F8" s="519" t="n">
        <v>149</v>
      </c>
      <c r="G8" s="519" t="n">
        <v>757</v>
      </c>
      <c r="H8" s="519" t="n">
        <v>-476</v>
      </c>
      <c r="I8" s="519" t="n">
        <v>1328</v>
      </c>
      <c r="J8" s="519" t="n">
        <v>1890</v>
      </c>
      <c r="K8" s="519" t="n">
        <v>1357</v>
      </c>
      <c r="L8" s="519" t="n">
        <v>1495</v>
      </c>
      <c r="M8" s="519" t="n">
        <v>1478</v>
      </c>
      <c r="P8" s="280" t="n"/>
      <c r="Q8" s="280" t="n"/>
      <c r="R8" s="280" t="n"/>
      <c r="S8" s="280" t="n"/>
      <c r="T8" s="280" t="n"/>
      <c r="U8" s="280" t="n"/>
      <c r="V8" s="280" t="n"/>
      <c r="W8" s="280" t="n"/>
      <c r="X8" s="280" t="n"/>
      <c r="Y8" s="280" t="n"/>
    </row>
    <row r="9" ht="27.75" customHeight="1" s="377">
      <c r="B9" s="162" t="n"/>
      <c r="C9" s="159" t="inlineStr">
        <is>
          <t>Total Non-Cash Items</t>
        </is>
      </c>
      <c r="D9" s="519" t="n">
        <v>635.116</v>
      </c>
      <c r="E9" s="519" t="n">
        <v>831.205</v>
      </c>
      <c r="F9" s="519" t="n">
        <v>495</v>
      </c>
      <c r="G9" s="519" t="n">
        <v>1514</v>
      </c>
      <c r="H9" s="519" t="n">
        <v>281</v>
      </c>
      <c r="I9" s="519" t="n">
        <v>2116</v>
      </c>
      <c r="J9" s="519" t="n">
        <v>2746</v>
      </c>
      <c r="K9" s="519" t="n">
        <v>2229</v>
      </c>
      <c r="L9" s="519" t="n">
        <v>2352</v>
      </c>
      <c r="M9" s="519" t="n">
        <v>2296</v>
      </c>
      <c r="P9" s="280" t="n"/>
      <c r="Q9" s="280" t="n"/>
      <c r="R9" s="280" t="n"/>
      <c r="S9" s="280" t="n"/>
      <c r="T9" s="280" t="n"/>
      <c r="U9" s="280" t="n"/>
      <c r="V9" s="280" t="n"/>
      <c r="W9" s="280" t="n"/>
      <c r="X9" s="280" t="n"/>
      <c r="Y9" s="280" t="n"/>
    </row>
    <row r="10" ht="42" customHeight="1" s="377">
      <c r="B10" s="162" t="n"/>
      <c r="C10" s="159" t="inlineStr">
        <is>
          <t>Change In Accounts Receivable</t>
        </is>
      </c>
      <c r="D10" s="519" t="n">
        <v>-160.416</v>
      </c>
      <c r="E10" s="519" t="n">
        <v>-187.173</v>
      </c>
      <c r="F10" s="519" t="n">
        <v>-2</v>
      </c>
      <c r="G10" s="519" t="n">
        <v>-188</v>
      </c>
      <c r="H10" s="519" t="n">
        <v>106</v>
      </c>
      <c r="I10" s="519" t="n">
        <v>-430</v>
      </c>
      <c r="J10" s="519" t="n">
        <v>-198</v>
      </c>
      <c r="K10" s="519" t="n">
        <v>-159</v>
      </c>
      <c r="L10" s="519" t="n">
        <v>143</v>
      </c>
      <c r="M10" s="519" t="n">
        <v>-275</v>
      </c>
      <c r="P10" s="280" t="n"/>
      <c r="Q10" s="280" t="n"/>
      <c r="R10" s="280" t="n"/>
      <c r="S10" s="280" t="n"/>
      <c r="T10" s="280" t="n"/>
      <c r="U10" s="280" t="n"/>
      <c r="V10" s="280" t="n"/>
      <c r="W10" s="280" t="n"/>
      <c r="X10" s="280" t="n"/>
      <c r="Y10" s="280" t="n"/>
    </row>
    <row r="11" ht="27.75" customHeight="1" s="377">
      <c r="B11" s="162" t="n"/>
      <c r="C11" s="159" t="inlineStr">
        <is>
          <t>Change In Inventories</t>
        </is>
      </c>
      <c r="D11" s="519" t="n"/>
      <c r="E11" s="519" t="n"/>
      <c r="F11" s="519" t="n"/>
      <c r="G11" s="519" t="n"/>
      <c r="H11" s="519" t="n"/>
      <c r="I11" s="519" t="n"/>
      <c r="J11" s="519" t="n"/>
      <c r="K11" s="528" t="n"/>
      <c r="L11" s="519" t="n"/>
      <c r="M11" s="519" t="n"/>
      <c r="P11" s="280" t="n"/>
      <c r="Q11" s="280" t="n"/>
      <c r="R11" s="280" t="n"/>
      <c r="S11" s="280" t="n"/>
      <c r="T11" s="280" t="n"/>
      <c r="U11" s="280" t="n"/>
      <c r="V11" s="280" t="n"/>
      <c r="W11" s="280" t="n"/>
    </row>
    <row r="12" ht="42" customHeight="1" s="377">
      <c r="B12" s="162" t="n"/>
      <c r="C12" s="159" t="inlineStr">
        <is>
          <t>Change In Accounts Payable</t>
        </is>
      </c>
      <c r="D12" s="519" t="n">
        <v>-6.281</v>
      </c>
      <c r="E12" s="519" t="n">
        <v>-45.186</v>
      </c>
      <c r="F12" s="519" t="n">
        <v>55</v>
      </c>
      <c r="G12" s="519" t="n">
        <v>23</v>
      </c>
      <c r="H12" s="519" t="n">
        <v>96</v>
      </c>
      <c r="I12" s="519" t="n">
        <v>-20</v>
      </c>
      <c r="J12" s="519" t="n">
        <v>66</v>
      </c>
      <c r="K12" s="519" t="n">
        <v>-4</v>
      </c>
      <c r="L12" s="519" t="n">
        <v>44</v>
      </c>
      <c r="M12" s="519" t="n">
        <v>64</v>
      </c>
      <c r="P12" s="280" t="n"/>
      <c r="Q12" s="280" t="n"/>
      <c r="R12" s="280" t="n"/>
      <c r="S12" s="280" t="n"/>
      <c r="T12" s="280" t="n"/>
      <c r="U12" s="280" t="n"/>
      <c r="V12" s="280" t="n"/>
      <c r="W12" s="280" t="n"/>
      <c r="X12" s="280" t="n"/>
      <c r="Y12" s="280" t="n"/>
    </row>
    <row r="13" ht="42" customHeight="1" s="377" thickBot="1">
      <c r="B13" s="162" t="n"/>
      <c r="C13" s="159" t="inlineStr">
        <is>
          <t>Change In Assets/Liabilities</t>
        </is>
      </c>
      <c r="D13" s="519" t="n">
        <v>453.819</v>
      </c>
      <c r="E13" s="519" t="n">
        <v>503.442</v>
      </c>
      <c r="F13" s="519" t="n">
        <v>367</v>
      </c>
      <c r="G13" s="519" t="n">
        <v>-54</v>
      </c>
      <c r="H13" s="519" t="n">
        <v>-30</v>
      </c>
      <c r="I13" s="519" t="n">
        <v>578</v>
      </c>
      <c r="J13" s="519" t="n">
        <v>442</v>
      </c>
      <c r="K13" s="519" t="n">
        <v>-282</v>
      </c>
      <c r="L13" s="519" t="n">
        <v>-307</v>
      </c>
      <c r="M13" s="519" t="n">
        <v>681</v>
      </c>
      <c r="P13" s="280" t="n"/>
      <c r="Q13" s="280" t="n"/>
      <c r="R13" s="280" t="n"/>
      <c r="S13" s="280" t="n"/>
      <c r="T13" s="280" t="n"/>
      <c r="U13" s="280" t="n"/>
      <c r="V13" s="280" t="n"/>
      <c r="W13" s="280" t="n"/>
      <c r="X13" s="280" t="n"/>
      <c r="Y13" s="280" t="n"/>
    </row>
    <row r="14" ht="55.5" customHeight="1" s="377" thickBot="1">
      <c r="B14" s="162" t="n"/>
      <c r="C14" s="173" t="inlineStr">
        <is>
          <t>Total Change In Assets/Liabilities</t>
        </is>
      </c>
      <c r="D14" s="516" t="n">
        <v>395.83</v>
      </c>
      <c r="E14" s="516" t="n">
        <v>387.694</v>
      </c>
      <c r="F14" s="516" t="n">
        <v>943</v>
      </c>
      <c r="G14" s="516" t="n">
        <v>-43</v>
      </c>
      <c r="H14" s="516" t="n">
        <v>186</v>
      </c>
      <c r="I14" s="516" t="n">
        <v>292</v>
      </c>
      <c r="J14" s="516" t="n">
        <v>336</v>
      </c>
      <c r="K14" s="516" t="n">
        <v>-355</v>
      </c>
      <c r="L14" s="516" t="n">
        <v>144</v>
      </c>
      <c r="M14" s="516" t="n">
        <v>605</v>
      </c>
      <c r="P14" s="280" t="n"/>
      <c r="Q14" s="280" t="n"/>
      <c r="R14" s="280" t="n"/>
      <c r="S14" s="280" t="n"/>
      <c r="T14" s="280" t="n"/>
      <c r="U14" s="280" t="n"/>
      <c r="V14" s="280" t="n"/>
      <c r="W14" s="280" t="n"/>
      <c r="X14" s="280" t="n"/>
      <c r="Y14" s="280" t="n"/>
    </row>
    <row r="15" ht="55.5" customHeight="1" s="377">
      <c r="B15" s="162" t="n"/>
      <c r="C15" s="167" t="inlineStr">
        <is>
          <t>Cash Flow From Operating Activities</t>
        </is>
      </c>
      <c r="D15" s="517" t="n">
        <v>2199.728</v>
      </c>
      <c r="E15" s="517" t="n">
        <v>2912.853</v>
      </c>
      <c r="F15" s="517" t="n">
        <v>4029</v>
      </c>
      <c r="G15" s="517" t="n">
        <v>4422</v>
      </c>
      <c r="H15" s="517" t="n">
        <v>5727</v>
      </c>
      <c r="I15" s="517" t="n">
        <v>7230</v>
      </c>
      <c r="J15" s="517" t="n">
        <v>7838</v>
      </c>
      <c r="K15" s="517" t="n">
        <v>7302</v>
      </c>
      <c r="L15" s="517" t="n">
        <v>8056</v>
      </c>
      <c r="M15" s="517" t="n">
        <v>10031</v>
      </c>
      <c r="P15" s="280" t="n"/>
      <c r="Q15" s="280" t="n"/>
      <c r="R15" s="280" t="n"/>
      <c r="S15" s="280" t="n"/>
      <c r="T15" s="280" t="n"/>
      <c r="U15" s="280" t="n"/>
      <c r="V15" s="280" t="n"/>
      <c r="W15" s="280" t="n"/>
      <c r="X15" s="280" t="n"/>
      <c r="Y15" s="280" t="n"/>
    </row>
    <row r="16" ht="69" customHeight="1" s="377" thickBot="1">
      <c r="B16" s="162" t="n"/>
      <c r="C16" s="174" t="inlineStr">
        <is>
          <t>Net Change In Property, Plant, And Equipment</t>
        </is>
      </c>
      <c r="D16" s="518" t="n">
        <v>-203.805</v>
      </c>
      <c r="E16" s="518" t="n">
        <v>-178.122</v>
      </c>
      <c r="F16" s="518" t="n">
        <v>-267</v>
      </c>
      <c r="G16" s="518" t="n">
        <v>-395</v>
      </c>
      <c r="H16" s="518" t="n">
        <v>-419</v>
      </c>
      <c r="I16" s="518" t="n">
        <v>-348</v>
      </c>
      <c r="J16" s="518" t="n">
        <v>-442</v>
      </c>
      <c r="K16" s="518" t="n">
        <v>-360</v>
      </c>
      <c r="L16" s="518" t="n">
        <v>-183</v>
      </c>
      <c r="M16" s="518" t="n">
        <v>-179</v>
      </c>
      <c r="P16" s="280" t="n"/>
      <c r="Q16" s="280" t="n"/>
      <c r="R16" s="280" t="n"/>
      <c r="S16" s="280" t="n"/>
      <c r="T16" s="280" t="n"/>
      <c r="U16" s="280" t="n"/>
      <c r="V16" s="280" t="n"/>
      <c r="W16" s="280" t="n"/>
      <c r="X16" s="280" t="n"/>
      <c r="Y16" s="280" t="n"/>
    </row>
    <row r="17" ht="55.5" customHeight="1" s="377" thickBot="1">
      <c r="B17" s="162" t="n"/>
      <c r="C17" s="159" t="inlineStr">
        <is>
          <t>Net Change In Intangible Assets</t>
        </is>
      </c>
      <c r="D17" s="519" t="n"/>
      <c r="E17" s="519" t="n"/>
      <c r="F17" s="519" t="n"/>
      <c r="G17" s="519" t="n"/>
      <c r="H17" s="519" t="n"/>
      <c r="I17" s="519" t="n"/>
      <c r="J17" s="519" t="n"/>
      <c r="K17" s="528" t="n"/>
      <c r="L17" s="519" t="n"/>
      <c r="M17" s="519" t="n"/>
      <c r="P17" s="280" t="n"/>
      <c r="Q17" s="280" t="n"/>
      <c r="R17" s="280" t="n"/>
      <c r="S17" s="280" t="n"/>
      <c r="T17" s="280" t="n"/>
      <c r="U17" s="280" t="n"/>
      <c r="V17" s="280" t="n"/>
      <c r="W17" s="280" t="n"/>
    </row>
    <row r="18" ht="55.5" customHeight="1" s="377">
      <c r="B18" s="162" t="n"/>
      <c r="C18" s="159" t="inlineStr">
        <is>
          <t>Net Acquisitions/Divestitures</t>
        </is>
      </c>
      <c r="D18" s="519" t="n">
        <v>-48.427</v>
      </c>
      <c r="E18" s="519" t="n">
        <v>-459.626</v>
      </c>
      <c r="F18" s="519" t="n">
        <v>-6314</v>
      </c>
      <c r="G18" s="519" t="n">
        <v>-101</v>
      </c>
      <c r="H18" s="519" t="n"/>
      <c r="I18" s="519" t="n">
        <v>-2682</v>
      </c>
      <c r="J18" s="519" t="n">
        <v>-126</v>
      </c>
      <c r="K18" s="519" t="n"/>
      <c r="L18" s="519" t="n"/>
      <c r="M18" s="519" t="n">
        <v>-17</v>
      </c>
      <c r="P18" s="280" t="n"/>
      <c r="Q18" s="280" t="n"/>
      <c r="R18" s="280" t="n"/>
      <c r="S18" s="280" t="n"/>
      <c r="T18" s="280" t="n"/>
      <c r="U18" s="280" t="n"/>
      <c r="V18" s="280" t="n"/>
      <c r="W18" s="280" t="n"/>
      <c r="X18" s="280" t="n"/>
      <c r="Y18" s="280" t="n"/>
    </row>
    <row r="19" ht="55.5" customHeight="1" s="377">
      <c r="B19" s="162" t="n"/>
      <c r="C19" s="159" t="inlineStr">
        <is>
          <t>Net Change In Short-term Investments</t>
        </is>
      </c>
      <c r="D19" s="519" t="n">
        <v>-655.145</v>
      </c>
      <c r="E19" s="519" t="n">
        <v>222.655</v>
      </c>
      <c r="F19" s="519" t="n">
        <v>1909</v>
      </c>
      <c r="G19" s="519" t="n">
        <v>86</v>
      </c>
      <c r="H19" s="519" t="n">
        <v>11</v>
      </c>
      <c r="I19" s="519" t="n">
        <v>-465</v>
      </c>
      <c r="J19" s="519" t="n">
        <v>44</v>
      </c>
      <c r="K19" s="519" t="n">
        <v>1188</v>
      </c>
      <c r="L19" s="519" t="n">
        <v>438</v>
      </c>
      <c r="M19" s="519" t="n">
        <v>-860</v>
      </c>
      <c r="P19" s="280" t="n"/>
      <c r="Q19" s="280" t="n"/>
      <c r="R19" s="280" t="n"/>
      <c r="S19" s="280" t="n"/>
      <c r="T19" s="280" t="n"/>
      <c r="U19" s="280" t="n"/>
      <c r="V19" s="280" t="n"/>
      <c r="W19" s="280" t="n"/>
      <c r="X19" s="280" t="n"/>
      <c r="Y19" s="280" t="n"/>
    </row>
    <row r="20" ht="55.5" customHeight="1" s="377">
      <c r="B20" s="162" t="n"/>
      <c r="C20" s="159" t="inlineStr">
        <is>
          <t>Net Change In Long-Term Investments</t>
        </is>
      </c>
      <c r="D20" s="519" t="n">
        <v>-52.656</v>
      </c>
      <c r="E20" s="519" t="n">
        <v>-27.784</v>
      </c>
      <c r="F20" s="519" t="n">
        <v>-13</v>
      </c>
      <c r="G20" s="519" t="n">
        <v>-4</v>
      </c>
      <c r="H20" s="519" t="n">
        <v>-6</v>
      </c>
      <c r="I20" s="519" t="n">
        <v>-42</v>
      </c>
      <c r="J20" s="519" t="n">
        <v>-46</v>
      </c>
      <c r="K20" s="519" t="n">
        <v>-53</v>
      </c>
      <c r="L20" s="519" t="n">
        <v>-108</v>
      </c>
      <c r="M20" s="519" t="n">
        <v>-134</v>
      </c>
      <c r="P20" s="280" t="n"/>
      <c r="Q20" s="280" t="n"/>
      <c r="R20" s="280" t="n"/>
      <c r="S20" s="280" t="n"/>
      <c r="T20" s="280" t="n"/>
      <c r="U20" s="280" t="n"/>
      <c r="V20" s="280" t="n"/>
      <c r="W20" s="280" t="n"/>
      <c r="X20" s="280" t="n"/>
      <c r="Y20" s="280" t="n"/>
    </row>
    <row r="21" ht="55.5" customHeight="1" s="377">
      <c r="B21" s="162" t="n"/>
      <c r="C21" s="159" t="inlineStr">
        <is>
          <t>Net Change In Investments - Total</t>
        </is>
      </c>
      <c r="D21" s="519" t="n">
        <v>-707.801</v>
      </c>
      <c r="E21" s="519" t="n">
        <v>194.871</v>
      </c>
      <c r="F21" s="519" t="n">
        <v>1896</v>
      </c>
      <c r="G21" s="519" t="n">
        <v>4</v>
      </c>
      <c r="H21" s="519" t="n">
        <v>5</v>
      </c>
      <c r="I21" s="519" t="n">
        <v>-507</v>
      </c>
      <c r="J21" s="519" t="n">
        <v>-2</v>
      </c>
      <c r="K21" s="519" t="n">
        <v>1135</v>
      </c>
      <c r="L21" s="519" t="n">
        <v>330</v>
      </c>
      <c r="M21" s="519" t="n">
        <v>-994</v>
      </c>
      <c r="P21" s="280" t="n"/>
      <c r="Q21" s="280" t="n"/>
      <c r="R21" s="280" t="n"/>
      <c r="S21" s="280" t="n"/>
      <c r="T21" s="280" t="n"/>
      <c r="U21" s="280" t="n"/>
      <c r="V21" s="280" t="n"/>
      <c r="W21" s="280" t="n"/>
      <c r="X21" s="280" t="n"/>
      <c r="Y21" s="280" t="n"/>
    </row>
    <row r="22" ht="42" customHeight="1" s="377" thickBot="1">
      <c r="B22" s="162" t="n"/>
      <c r="C22" s="159" t="inlineStr">
        <is>
          <t>Investing Activities - Other</t>
        </is>
      </c>
      <c r="D22" s="519" t="n"/>
      <c r="E22" s="519" t="n"/>
      <c r="F22" s="519" t="n"/>
      <c r="G22" s="519" t="n"/>
      <c r="H22" s="519" t="n"/>
      <c r="I22" s="519" t="n"/>
      <c r="J22" s="519" t="n"/>
      <c r="K22" s="528" t="n">
        <v>1</v>
      </c>
      <c r="L22" s="519" t="n">
        <v>2</v>
      </c>
      <c r="M22" s="519" t="n">
        <v>3</v>
      </c>
      <c r="P22" s="280" t="n"/>
      <c r="Q22" s="280" t="n"/>
      <c r="R22" s="280" t="n"/>
      <c r="S22" s="280" t="n"/>
      <c r="T22" s="280" t="n"/>
      <c r="U22" s="280" t="n"/>
      <c r="V22" s="280" t="n"/>
      <c r="W22" s="280" t="n"/>
    </row>
    <row r="23" ht="55.5" customHeight="1" s="377">
      <c r="B23" s="162" t="n"/>
      <c r="C23" s="167" t="inlineStr">
        <is>
          <t>Cash Flow From Investing Activities</t>
        </is>
      </c>
      <c r="D23" s="517" t="n">
        <v>-960.033</v>
      </c>
      <c r="E23" s="517" t="n">
        <v>-442.877</v>
      </c>
      <c r="F23" s="517" t="n">
        <v>-4685</v>
      </c>
      <c r="G23" s="517" t="n">
        <v>-456</v>
      </c>
      <c r="H23" s="517" t="n">
        <v>-414</v>
      </c>
      <c r="I23" s="517" t="n">
        <v>-3537</v>
      </c>
      <c r="J23" s="517" t="n">
        <v>-570</v>
      </c>
      <c r="K23" s="517" t="n">
        <v>776</v>
      </c>
      <c r="L23" s="517" t="n">
        <v>149</v>
      </c>
      <c r="M23" s="517" t="n">
        <v>-1187</v>
      </c>
      <c r="P23" s="280" t="n"/>
      <c r="Q23" s="280" t="n"/>
      <c r="R23" s="280" t="n"/>
      <c r="S23" s="280" t="n"/>
      <c r="T23" s="280" t="n"/>
      <c r="U23" s="280" t="n"/>
      <c r="V23" s="280" t="n"/>
      <c r="W23" s="280" t="n"/>
      <c r="X23" s="280" t="n"/>
      <c r="Y23" s="280" t="n"/>
    </row>
    <row r="24" ht="27.75" customHeight="1" s="377" thickBot="1">
      <c r="B24" s="162" t="n"/>
      <c r="C24" s="174" t="inlineStr">
        <is>
          <t>Net Long-Term Debt</t>
        </is>
      </c>
      <c r="D24" s="518" t="n">
        <v>-0.108</v>
      </c>
      <c r="E24" s="518" t="n"/>
      <c r="F24" s="518" t="n">
        <v>2248</v>
      </c>
      <c r="G24" s="518" t="n"/>
      <c r="H24" s="518" t="n">
        <v>-6</v>
      </c>
      <c r="I24" s="518" t="n"/>
      <c r="J24" s="518" t="n"/>
      <c r="K24" s="518" t="n">
        <v>-500</v>
      </c>
      <c r="L24" s="518" t="n">
        <v>1997</v>
      </c>
      <c r="M24" s="518" t="n">
        <v>497</v>
      </c>
      <c r="P24" s="280" t="n"/>
      <c r="Q24" s="280" t="n"/>
      <c r="R24" s="280" t="n"/>
      <c r="S24" s="280" t="n"/>
      <c r="T24" s="280" t="n"/>
      <c r="U24" s="280" t="n"/>
      <c r="V24" s="280" t="n"/>
      <c r="W24" s="280" t="n"/>
      <c r="Y24" s="280" t="n"/>
    </row>
    <row r="25" ht="27.75" customHeight="1" s="377" thickBot="1">
      <c r="B25" s="162" t="n"/>
      <c r="C25" s="159" t="inlineStr">
        <is>
          <t>Net Current Debt</t>
        </is>
      </c>
      <c r="D25" s="519" t="n"/>
      <c r="E25" s="519" t="n"/>
      <c r="F25" s="519" t="n"/>
      <c r="G25" s="519" t="n"/>
      <c r="H25" s="519" t="n"/>
      <c r="I25" s="519" t="n"/>
      <c r="J25" s="519" t="n"/>
      <c r="K25" s="528" t="n"/>
      <c r="L25" s="519" t="n"/>
      <c r="M25" s="519" t="n"/>
      <c r="P25" s="280" t="n"/>
      <c r="Q25" s="280" t="n"/>
      <c r="R25" s="280" t="n"/>
      <c r="S25" s="280" t="n"/>
      <c r="T25" s="280" t="n"/>
      <c r="U25" s="280" t="n"/>
      <c r="V25" s="280" t="n"/>
      <c r="W25" s="280" t="n"/>
      <c r="X25" s="280" t="n"/>
    </row>
    <row r="26" ht="27.75" customHeight="1" s="377">
      <c r="B26" s="162" t="n"/>
      <c r="C26" s="159" t="inlineStr">
        <is>
          <t>Debt Issuance/Retirement Net - Total</t>
        </is>
      </c>
      <c r="D26" s="519" t="n">
        <v>-0.108</v>
      </c>
      <c r="E26" s="519" t="n"/>
      <c r="F26" s="519" t="n">
        <v>2248</v>
      </c>
      <c r="G26" s="519" t="n"/>
      <c r="H26" s="519" t="n">
        <v>-6</v>
      </c>
      <c r="I26" s="519" t="n"/>
      <c r="J26" s="519" t="n"/>
      <c r="K26" s="519" t="n">
        <v>-500</v>
      </c>
      <c r="L26" s="519" t="n">
        <v>1997</v>
      </c>
      <c r="M26" s="519" t="n">
        <v>497</v>
      </c>
      <c r="P26" s="280" t="n"/>
      <c r="Q26" s="280" t="n"/>
      <c r="R26" s="280" t="n"/>
      <c r="S26" s="280" t="n"/>
      <c r="T26" s="280" t="n"/>
      <c r="U26" s="280" t="n"/>
      <c r="V26" s="280" t="n"/>
      <c r="W26" s="280" t="n"/>
      <c r="X26" s="280" t="n"/>
      <c r="Y26" s="280" t="n"/>
    </row>
    <row r="27" ht="36" customHeight="1" s="377">
      <c r="B27" s="162" t="n"/>
      <c r="C27" s="159" t="inlineStr">
        <is>
          <t>Net Common Equity Issued/Repurchased</t>
        </is>
      </c>
      <c r="D27" s="519" t="n">
        <v>-929.303</v>
      </c>
      <c r="E27" s="519" t="n">
        <v>-941.649</v>
      </c>
      <c r="F27" s="519" t="n">
        <v>-1859</v>
      </c>
      <c r="G27" s="519" t="n">
        <v>-2517</v>
      </c>
      <c r="H27" s="519" t="n">
        <v>-2780</v>
      </c>
      <c r="I27" s="519" t="n">
        <v>-3659</v>
      </c>
      <c r="J27" s="519" t="n">
        <v>-6272</v>
      </c>
      <c r="K27" s="519" t="n">
        <v>-4086</v>
      </c>
      <c r="L27" s="519" t="n">
        <v>-9139</v>
      </c>
      <c r="M27" s="519" t="n">
        <v>-10933</v>
      </c>
      <c r="P27" s="280" t="n"/>
      <c r="Q27" s="280" t="n"/>
      <c r="R27" s="280" t="n"/>
      <c r="S27" s="280" t="n"/>
      <c r="T27" s="280" t="n"/>
      <c r="U27" s="280" t="n"/>
      <c r="V27" s="280" t="n"/>
      <c r="W27" s="280" t="n"/>
      <c r="X27" s="280" t="n"/>
      <c r="Y27" s="280" t="n"/>
    </row>
    <row r="28" ht="33.75" customHeight="1" s="377">
      <c r="B28" s="162" t="n"/>
      <c r="C28" s="159" t="inlineStr">
        <is>
          <t>Net Total Equity Issued/Repurchased</t>
        </is>
      </c>
      <c r="D28" s="519" t="n">
        <v>-929.303</v>
      </c>
      <c r="E28" s="519" t="n">
        <v>-941.649</v>
      </c>
      <c r="F28" s="519" t="n">
        <v>-1859</v>
      </c>
      <c r="G28" s="519" t="n">
        <v>-2517</v>
      </c>
      <c r="H28" s="519" t="n">
        <v>-2780</v>
      </c>
      <c r="I28" s="519" t="n">
        <v>-3659</v>
      </c>
      <c r="J28" s="519" t="n">
        <v>-6272</v>
      </c>
      <c r="K28" s="519" t="n">
        <v>-4086</v>
      </c>
      <c r="L28" s="516" t="n">
        <v>-9139</v>
      </c>
      <c r="M28" s="516" t="n">
        <v>-10933</v>
      </c>
      <c r="P28" s="280" t="n"/>
      <c r="Q28" s="280" t="n"/>
      <c r="R28" s="280" t="n"/>
      <c r="S28" s="280" t="n"/>
      <c r="T28" s="280" t="n"/>
      <c r="U28" s="280" t="n"/>
      <c r="V28" s="280" t="n"/>
      <c r="W28" s="280" t="n"/>
      <c r="X28" s="280" t="n"/>
    </row>
    <row r="29" ht="34.5" customHeight="1" s="377">
      <c r="B29" s="162" t="n"/>
      <c r="C29" s="159" t="inlineStr">
        <is>
          <t>Total Common And Preferred Stock Dividends Paid</t>
        </is>
      </c>
      <c r="D29" s="523" t="n"/>
      <c r="E29" s="523" t="n"/>
      <c r="F29" s="523" t="n"/>
      <c r="G29" s="523" t="n"/>
      <c r="H29" s="523" t="n"/>
      <c r="I29" s="523" t="n"/>
      <c r="J29" s="523" t="n"/>
      <c r="K29" s="529" t="n"/>
      <c r="L29" s="518" t="n"/>
      <c r="M29" s="518" t="n"/>
      <c r="Y29" s="280" t="n"/>
    </row>
    <row r="30" ht="42" customHeight="1" s="377" thickBot="1">
      <c r="B30" s="162" t="n"/>
      <c r="C30" s="159" t="inlineStr">
        <is>
          <t>Financial Activities - Other</t>
        </is>
      </c>
      <c r="D30" s="519" t="n">
        <v>-161.295</v>
      </c>
      <c r="E30" s="519" t="n">
        <v>-242.086</v>
      </c>
      <c r="F30" s="519" t="n">
        <v>-394</v>
      </c>
      <c r="G30" s="519" t="n">
        <v>-429</v>
      </c>
      <c r="H30" s="519" t="n">
        <v>-702</v>
      </c>
      <c r="I30" s="519" t="n">
        <v>-642</v>
      </c>
      <c r="J30" s="519" t="n">
        <v>-553</v>
      </c>
      <c r="K30" s="519" t="n">
        <v>-596</v>
      </c>
      <c r="L30" s="519" t="n">
        <v>-582</v>
      </c>
      <c r="M30" s="519" t="n">
        <v>-624</v>
      </c>
      <c r="P30" s="280" t="n"/>
      <c r="Q30" s="280" t="n"/>
      <c r="R30" s="280" t="n"/>
      <c r="S30" s="280" t="n"/>
      <c r="T30" s="280" t="n"/>
      <c r="U30" s="280" t="n"/>
      <c r="V30" s="280" t="n"/>
      <c r="W30" s="280" t="n"/>
      <c r="Y30" s="280" t="n"/>
    </row>
    <row r="31" ht="55.5" customHeight="1" s="377">
      <c r="B31" s="162" t="n"/>
      <c r="C31" s="167" t="inlineStr">
        <is>
          <t>Cash Flow From Financial Activities</t>
        </is>
      </c>
      <c r="D31" s="517" t="n">
        <v>-1090.706</v>
      </c>
      <c r="E31" s="517" t="n">
        <v>-1183.735</v>
      </c>
      <c r="F31" s="517" t="n">
        <v>-5</v>
      </c>
      <c r="G31" s="517" t="n">
        <v>-2946</v>
      </c>
      <c r="H31" s="517" t="n">
        <v>-3488</v>
      </c>
      <c r="I31" s="517" t="n">
        <v>-4301</v>
      </c>
      <c r="J31" s="517" t="n">
        <v>-6825</v>
      </c>
      <c r="K31" s="517" t="n">
        <v>-5182</v>
      </c>
      <c r="L31" s="517" t="n">
        <v>-7724</v>
      </c>
      <c r="M31" s="517" t="n">
        <v>-11060</v>
      </c>
      <c r="P31" s="280" t="n"/>
      <c r="Q31" s="280" t="n"/>
      <c r="R31" s="280" t="n"/>
      <c r="S31" s="280" t="n"/>
      <c r="T31" s="280" t="n"/>
      <c r="U31" s="280" t="n"/>
      <c r="V31" s="280" t="n"/>
      <c r="W31" s="280" t="n"/>
      <c r="X31" s="280" t="n"/>
      <c r="Y31" s="280" t="n"/>
    </row>
    <row r="32" ht="27.75" customHeight="1" s="377" thickBot="1">
      <c r="B32" s="162" t="n"/>
      <c r="C32" s="177" t="inlineStr">
        <is>
          <t>Net Cash Flow</t>
        </is>
      </c>
      <c r="D32" s="521" t="n">
        <v>134.755</v>
      </c>
      <c r="E32" s="521" t="n">
        <v>1294.757</v>
      </c>
      <c r="F32" s="521" t="n">
        <v>-663</v>
      </c>
      <c r="G32" s="521" t="n">
        <v>1007</v>
      </c>
      <c r="H32" s="521" t="n">
        <v>1828</v>
      </c>
      <c r="I32" s="521" t="n">
        <v>-634</v>
      </c>
      <c r="J32" s="521" t="n">
        <v>392</v>
      </c>
      <c r="K32" s="521" t="n">
        <v>2905</v>
      </c>
      <c r="L32" s="521" t="n">
        <v>472</v>
      </c>
      <c r="M32" s="521" t="n">
        <v>-2182</v>
      </c>
      <c r="P32" s="280" t="n"/>
      <c r="Q32" s="280" t="n"/>
      <c r="R32" s="280" t="n"/>
      <c r="S32" s="280" t="n"/>
      <c r="T32" s="280" t="n"/>
      <c r="U32" s="280" t="n"/>
      <c r="V32" s="280" t="n"/>
      <c r="W32" s="280" t="n"/>
      <c r="X32" s="280" t="n"/>
    </row>
    <row r="33" ht="22.5" customHeight="1" s="377" thickBot="1">
      <c r="B33" s="162" t="n"/>
      <c r="C33" s="156" t="inlineStr">
        <is>
          <t>Stock-Based Compensation</t>
        </is>
      </c>
      <c r="D33" s="519" t="n">
        <v>349.297</v>
      </c>
      <c r="E33" s="519" t="n">
        <v>454.472</v>
      </c>
      <c r="F33" s="519" t="n">
        <v>610</v>
      </c>
      <c r="G33" s="519" t="n">
        <v>788</v>
      </c>
      <c r="H33" s="519" t="n">
        <v>909</v>
      </c>
      <c r="I33" s="519" t="n">
        <v>1069</v>
      </c>
      <c r="J33" s="519" t="n">
        <v>1440</v>
      </c>
      <c r="K33" s="519" t="n">
        <v>1718</v>
      </c>
      <c r="L33" s="519" t="n">
        <v>1833</v>
      </c>
      <c r="M33" s="519" t="n">
        <v>1942</v>
      </c>
      <c r="P33" s="280" t="n"/>
      <c r="Q33" s="280" t="n"/>
      <c r="R33" s="280" t="n"/>
      <c r="S33" s="280" t="n"/>
      <c r="T33" s="280" t="n"/>
      <c r="U33" s="280" t="n"/>
      <c r="V33" s="280" t="n"/>
      <c r="W33" s="280" t="n"/>
      <c r="X33" s="280" t="n"/>
    </row>
    <row r="34" ht="33" customHeight="1" s="377" thickBot="1">
      <c r="B34" s="162" t="n"/>
      <c r="C34" s="192" t="inlineStr">
        <is>
          <t>Common Stock Dividends Paid</t>
        </is>
      </c>
      <c r="D34" s="530" t="n"/>
      <c r="E34" s="530" t="n"/>
      <c r="F34" s="530" t="n"/>
      <c r="G34" s="530" t="n"/>
      <c r="H34" s="530" t="n"/>
      <c r="I34" s="530" t="n"/>
      <c r="J34" s="530" t="n"/>
      <c r="K34" s="531" t="n"/>
      <c r="L34" s="530" t="n"/>
      <c r="M34" s="530" t="n"/>
      <c r="P34" s="280" t="n"/>
      <c r="Q34" s="280" t="n"/>
      <c r="R34" s="280" t="n"/>
      <c r="S34" s="280" t="n"/>
      <c r="T34" s="280" t="n"/>
      <c r="U34" s="280" t="n"/>
      <c r="V34" s="280" t="n"/>
      <c r="W34" s="280" t="n"/>
      <c r="X34" s="280" t="n"/>
    </row>
    <row r="35" ht="15.75" customHeight="1" s="377" thickTop="1">
      <c r="B35" s="162" t="n"/>
      <c r="C35" s="162" t="n"/>
      <c r="D35" s="162" t="n"/>
      <c r="E35" s="162" t="n"/>
      <c r="F35" s="162" t="n"/>
      <c r="G35" s="162" t="n"/>
      <c r="H35" s="162" t="n"/>
      <c r="I35" s="162" t="n"/>
      <c r="J35" s="162" t="n"/>
      <c r="K35" s="162" t="n"/>
      <c r="L35" s="162" t="n"/>
      <c r="M35" s="162" t="n"/>
      <c r="P35" s="280" t="n"/>
      <c r="Q35" s="280" t="n"/>
      <c r="R35" s="280" t="n"/>
      <c r="S35" s="280" t="n"/>
      <c r="T35" s="280" t="n"/>
      <c r="U35" s="280" t="n"/>
      <c r="V35" s="280" t="n"/>
      <c r="W35" s="280" t="n"/>
    </row>
    <row r="36">
      <c r="P36" s="280" t="n"/>
    </row>
  </sheetData>
  <mergeCells count="16">
    <mergeCell ref="R35:R36"/>
    <mergeCell ref="S35:S36"/>
    <mergeCell ref="Q35:Q36"/>
    <mergeCell ref="W35:W36"/>
    <mergeCell ref="U35:U36"/>
    <mergeCell ref="P28:P29"/>
    <mergeCell ref="U28:U29"/>
    <mergeCell ref="T28:T29"/>
    <mergeCell ref="X28:X29"/>
    <mergeCell ref="R28:R29"/>
    <mergeCell ref="S28:S29"/>
    <mergeCell ref="Q28:Q29"/>
    <mergeCell ref="W28:W29"/>
    <mergeCell ref="V35:V36"/>
    <mergeCell ref="T35:T36"/>
    <mergeCell ref="V28:V29"/>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sheetPr>
    <outlinePr summaryBelow="1" summaryRight="1"/>
    <pageSetUpPr/>
  </sheetPr>
  <dimension ref="A1:M65"/>
  <sheetViews>
    <sheetView showGridLines="0" zoomScaleNormal="100" workbookViewId="0">
      <pane xSplit="2" ySplit="4" topLeftCell="C20" activePane="bottomRight" state="frozen"/>
      <selection pane="topRight" activeCell="C1" sqref="C1"/>
      <selection pane="bottomLeft" activeCell="A5" sqref="A5"/>
      <selection pane="bottomRight" activeCell="A26" sqref="A25:M26"/>
    </sheetView>
  </sheetViews>
  <sheetFormatPr baseColWidth="10" defaultColWidth="8.5703125" defaultRowHeight="15"/>
  <cols>
    <col width="49.5703125" customWidth="1" style="377" min="1" max="1"/>
    <col width="9.5703125" customWidth="1" style="377" min="2" max="2"/>
    <col width="13.28515625" customWidth="1" style="377" min="3" max="13"/>
  </cols>
  <sheetData>
    <row r="1" ht="18.75" customHeight="1" s="377">
      <c r="A1" s="107" t="inlineStr">
        <is>
          <t>ADOBE · Proyección del escenario optimista</t>
        </is>
      </c>
    </row>
    <row r="2">
      <c r="A2" s="108" t="inlineStr">
        <is>
          <t>Millones de USD salvo datos por acción. Supuestos en la hoja «Escenarios». La columna 2025 es real.</t>
        </is>
      </c>
    </row>
    <row r="4" ht="15.75" customHeight="1" s="377" thickBot="1">
      <c r="A4" s="119" t="inlineStr">
        <is>
          <t>Ejercicio</t>
        </is>
      </c>
      <c r="B4" s="120" t="n"/>
      <c r="C4" s="195" t="inlineStr">
        <is>
          <t>2025 real</t>
        </is>
      </c>
      <c r="D4" s="195" t="inlineStr">
        <is>
          <t>2026</t>
        </is>
      </c>
      <c r="E4" s="195" t="inlineStr">
        <is>
          <t>2027</t>
        </is>
      </c>
      <c r="F4" s="195" t="inlineStr">
        <is>
          <t>2028</t>
        </is>
      </c>
      <c r="G4" s="195" t="inlineStr">
        <is>
          <t>2029</t>
        </is>
      </c>
      <c r="H4" s="195" t="inlineStr">
        <is>
          <t>2030</t>
        </is>
      </c>
      <c r="I4" s="195" t="inlineStr">
        <is>
          <t>2031</t>
        </is>
      </c>
      <c r="J4" s="195" t="inlineStr">
        <is>
          <t>2032</t>
        </is>
      </c>
      <c r="K4" s="195" t="inlineStr">
        <is>
          <t>2033</t>
        </is>
      </c>
      <c r="L4" s="195" t="inlineStr">
        <is>
          <t>2034</t>
        </is>
      </c>
      <c r="M4" s="195" t="inlineStr">
        <is>
          <t>2035</t>
        </is>
      </c>
    </row>
    <row r="5">
      <c r="A5" s="111" t="inlineStr">
        <is>
          <t>Año de proyección</t>
        </is>
      </c>
      <c r="C5" s="126" t="n">
        <v>0</v>
      </c>
      <c r="D5" s="126" t="n">
        <v>1</v>
      </c>
      <c r="E5" s="126" t="n">
        <v>2</v>
      </c>
      <c r="F5" s="126" t="n">
        <v>3</v>
      </c>
      <c r="G5" s="126" t="n">
        <v>4</v>
      </c>
      <c r="H5" s="126" t="n">
        <v>5</v>
      </c>
      <c r="I5" s="126" t="n">
        <v>6</v>
      </c>
      <c r="J5" s="126" t="n">
        <v>7</v>
      </c>
      <c r="K5" s="126" t="n">
        <v>8</v>
      </c>
      <c r="L5" s="126" t="n">
        <v>9</v>
      </c>
      <c r="M5" s="126" t="n">
        <v>10</v>
      </c>
    </row>
    <row r="6">
      <c r="A6" s="119" t="inlineStr">
        <is>
          <t>CUENTA DE RESULTADOS</t>
        </is>
      </c>
      <c r="B6" s="147" t="n"/>
      <c r="C6" s="147" t="n"/>
      <c r="D6" s="147" t="n"/>
      <c r="E6" s="147" t="n"/>
      <c r="F6" s="147" t="n"/>
      <c r="G6" s="147" t="n"/>
      <c r="H6" s="147" t="n"/>
      <c r="I6" s="147" t="n"/>
      <c r="J6" s="147" t="n"/>
      <c r="K6" s="147" t="n"/>
      <c r="L6" s="147" t="n"/>
      <c r="M6" s="147" t="n"/>
    </row>
    <row r="7">
      <c r="A7" s="111" t="inlineStr">
        <is>
          <t>Crecimiento de ventas</t>
        </is>
      </c>
      <c r="C7" s="500">
        <f>PyG!M8/PyG!L8-1</f>
        <v/>
      </c>
      <c r="D7" s="500">
        <f>Escenarios!$C$72+(Escenarios!$C$73-Escenarios!$C$72)*(D$5-1)/9</f>
        <v/>
      </c>
      <c r="E7" s="500">
        <f>Escenarios!$C$72+(Escenarios!$C$73-Escenarios!$C$72)*(E$5-1)/9</f>
        <v/>
      </c>
      <c r="F7" s="500">
        <f>Escenarios!$C$72+(Escenarios!$C$73-Escenarios!$C$72)*(F$5-1)/9</f>
        <v/>
      </c>
      <c r="G7" s="500">
        <f>Escenarios!$C$72+(Escenarios!$C$73-Escenarios!$C$72)*(G$5-1)/9</f>
        <v/>
      </c>
      <c r="H7" s="500">
        <f>Escenarios!$C$72+(Escenarios!$C$73-Escenarios!$C$72)*(H$5-1)/9</f>
        <v/>
      </c>
      <c r="I7" s="500">
        <f>Escenarios!$C$72+(Escenarios!$C$73-Escenarios!$C$72)*(I$5-1)/9</f>
        <v/>
      </c>
      <c r="J7" s="500">
        <f>Escenarios!$C$72+(Escenarios!$C$73-Escenarios!$C$72)*(J$5-1)/9</f>
        <v/>
      </c>
      <c r="K7" s="500">
        <f>Escenarios!$C$72+(Escenarios!$C$73-Escenarios!$C$72)*(K$5-1)/9</f>
        <v/>
      </c>
      <c r="L7" s="500">
        <f>Escenarios!$C$72+(Escenarios!$C$73-Escenarios!$C$72)*(L$5-1)/9</f>
        <v/>
      </c>
      <c r="M7" s="500">
        <f>Escenarios!$C$72+(Escenarios!$C$73-Escenarios!$C$72)*(M$5-1)/9</f>
        <v/>
      </c>
    </row>
    <row r="8">
      <c r="A8" s="130" t="inlineStr">
        <is>
          <t>Ventas</t>
        </is>
      </c>
      <c r="C8" s="532">
        <f>PyG!M8</f>
        <v/>
      </c>
      <c r="D8" s="533">
        <f>C8*(1+D7)</f>
        <v/>
      </c>
      <c r="E8" s="533">
        <f>D8*(1+E7)</f>
        <v/>
      </c>
      <c r="F8" s="533">
        <f>E8*(1+F7)</f>
        <v/>
      </c>
      <c r="G8" s="533">
        <f>F8*(1+G7)</f>
        <v/>
      </c>
      <c r="H8" s="533">
        <f>G8*(1+H7)</f>
        <v/>
      </c>
      <c r="I8" s="533">
        <f>H8*(1+I7)</f>
        <v/>
      </c>
      <c r="J8" s="533">
        <f>I8*(1+J7)</f>
        <v/>
      </c>
      <c r="K8" s="533">
        <f>J8*(1+K7)</f>
        <v/>
      </c>
      <c r="L8" s="533">
        <f>K8*(1+L7)</f>
        <v/>
      </c>
      <c r="M8" s="533">
        <f>L8*(1+M7)</f>
        <v/>
      </c>
    </row>
    <row r="9">
      <c r="A9" s="111" t="inlineStr">
        <is>
          <t>Coste de ventas</t>
        </is>
      </c>
      <c r="C9" s="497">
        <f>PyG!M9</f>
        <v/>
      </c>
      <c r="D9" s="513">
        <f>D8*(1-D11)</f>
        <v/>
      </c>
      <c r="E9" s="513">
        <f>E8*(1-E11)</f>
        <v/>
      </c>
      <c r="F9" s="513">
        <f>F8*(1-F11)</f>
        <v/>
      </c>
      <c r="G9" s="513">
        <f>G8*(1-G11)</f>
        <v/>
      </c>
      <c r="H9" s="513">
        <f>H8*(1-H11)</f>
        <v/>
      </c>
      <c r="I9" s="513">
        <f>I8*(1-I11)</f>
        <v/>
      </c>
      <c r="J9" s="513">
        <f>J8*(1-J11)</f>
        <v/>
      </c>
      <c r="K9" s="513">
        <f>K8*(1-K11)</f>
        <v/>
      </c>
      <c r="L9" s="513">
        <f>L8*(1-L11)</f>
        <v/>
      </c>
      <c r="M9" s="513">
        <f>M8*(1-M11)</f>
        <v/>
      </c>
    </row>
    <row r="10">
      <c r="A10" s="130" t="inlineStr">
        <is>
          <t>Margen bruto</t>
        </is>
      </c>
      <c r="C10" s="532">
        <f>PyG!M10</f>
        <v/>
      </c>
      <c r="D10" s="533">
        <f>D8-D9</f>
        <v/>
      </c>
      <c r="E10" s="533">
        <f>E8-E9</f>
        <v/>
      </c>
      <c r="F10" s="533">
        <f>F8-F9</f>
        <v/>
      </c>
      <c r="G10" s="533">
        <f>G8-G9</f>
        <v/>
      </c>
      <c r="H10" s="533">
        <f>H8-H9</f>
        <v/>
      </c>
      <c r="I10" s="533">
        <f>I8-I9</f>
        <v/>
      </c>
      <c r="J10" s="533">
        <f>J8-J9</f>
        <v/>
      </c>
      <c r="K10" s="533">
        <f>K8-K9</f>
        <v/>
      </c>
      <c r="L10" s="533">
        <f>L8-L9</f>
        <v/>
      </c>
      <c r="M10" s="533">
        <f>M8-M9</f>
        <v/>
      </c>
    </row>
    <row r="11">
      <c r="A11" s="111" t="inlineStr">
        <is>
          <t>Margen bruto %</t>
        </is>
      </c>
      <c r="C11" s="498">
        <f>C10/C8</f>
        <v/>
      </c>
      <c r="D11" s="500">
        <f>$C$11+(Escenarios!$C$74-$C$11)*MIN(D$5/Escenarios!$B$11,1)</f>
        <v/>
      </c>
      <c r="E11" s="500">
        <f>$C$11+(Escenarios!$C$74-$C$11)*MIN(E$5/Escenarios!$B$11,1)</f>
        <v/>
      </c>
      <c r="F11" s="500">
        <f>$C$11+(Escenarios!$C$74-$C$11)*MIN(F$5/Escenarios!$B$11,1)</f>
        <v/>
      </c>
      <c r="G11" s="500">
        <f>$C$11+(Escenarios!$C$74-$C$11)*MIN(G$5/Escenarios!$B$11,1)</f>
        <v/>
      </c>
      <c r="H11" s="500">
        <f>$C$11+(Escenarios!$C$74-$C$11)*MIN(H$5/Escenarios!$B$11,1)</f>
        <v/>
      </c>
      <c r="I11" s="500">
        <f>$C$11+(Escenarios!$C$74-$C$11)*MIN(I$5/Escenarios!$B$11,1)</f>
        <v/>
      </c>
      <c r="J11" s="500">
        <f>$C$11+(Escenarios!$C$74-$C$11)*MIN(J$5/Escenarios!$B$11,1)</f>
        <v/>
      </c>
      <c r="K11" s="500">
        <f>$C$11+(Escenarios!$C$74-$C$11)*MIN(K$5/Escenarios!$B$11,1)</f>
        <v/>
      </c>
      <c r="L11" s="500">
        <f>$C$11+(Escenarios!$C$74-$C$11)*MIN(L$5/Escenarios!$B$11,1)</f>
        <v/>
      </c>
      <c r="M11" s="500">
        <f>$C$11+(Escenarios!$C$74-$C$11)*MIN(M$5/Escenarios!$B$11,1)</f>
        <v/>
      </c>
    </row>
    <row r="12">
      <c r="A12" s="111" t="inlineStr">
        <is>
          <t>Gastos operativos</t>
        </is>
      </c>
      <c r="C12" s="497">
        <f>PyG!M14</f>
        <v/>
      </c>
      <c r="D12" s="513">
        <f>D10-D15</f>
        <v/>
      </c>
      <c r="E12" s="513">
        <f>E10-E15</f>
        <v/>
      </c>
      <c r="F12" s="513">
        <f>F10-F15</f>
        <v/>
      </c>
      <c r="G12" s="513">
        <f>G10-G15</f>
        <v/>
      </c>
      <c r="H12" s="513">
        <f>H10-H15</f>
        <v/>
      </c>
      <c r="I12" s="513">
        <f>I10-I15</f>
        <v/>
      </c>
      <c r="J12" s="513">
        <f>J10-J15</f>
        <v/>
      </c>
      <c r="K12" s="513">
        <f>K10-K15</f>
        <v/>
      </c>
      <c r="L12" s="513">
        <f>L10-L15</f>
        <v/>
      </c>
      <c r="M12" s="513">
        <f>M10-M15</f>
        <v/>
      </c>
    </row>
    <row r="13">
      <c r="A13" s="111" t="inlineStr">
        <is>
          <t xml:space="preserve">   de los cuales I+D</t>
        </is>
      </c>
      <c r="C13" s="497">
        <f>PyG!M11</f>
        <v/>
      </c>
      <c r="D13" s="497">
        <f>D12*Escenarios!$B$50</f>
        <v/>
      </c>
      <c r="E13" s="497">
        <f>E12*Escenarios!$B$50</f>
        <v/>
      </c>
      <c r="F13" s="497">
        <f>F12*Escenarios!$B$50</f>
        <v/>
      </c>
      <c r="G13" s="497">
        <f>G12*Escenarios!$B$50</f>
        <v/>
      </c>
      <c r="H13" s="497">
        <f>H12*Escenarios!$B$50</f>
        <v/>
      </c>
      <c r="I13" s="497">
        <f>I12*Escenarios!$B$50</f>
        <v/>
      </c>
      <c r="J13" s="497">
        <f>J12*Escenarios!$B$50</f>
        <v/>
      </c>
      <c r="K13" s="497">
        <f>K12*Escenarios!$B$50</f>
        <v/>
      </c>
      <c r="L13" s="497">
        <f>L12*Escenarios!$B$50</f>
        <v/>
      </c>
      <c r="M13" s="497">
        <f>M12*Escenarios!$B$50</f>
        <v/>
      </c>
    </row>
    <row r="14">
      <c r="A14" s="111" t="inlineStr">
        <is>
          <t xml:space="preserve">   de los cuales comerciales, generales y otros</t>
        </is>
      </c>
      <c r="C14" s="497">
        <f>PyG!M14-PyG!M11</f>
        <v/>
      </c>
      <c r="D14" s="513">
        <f>D12-D13</f>
        <v/>
      </c>
      <c r="E14" s="513">
        <f>E12-E13</f>
        <v/>
      </c>
      <c r="F14" s="513">
        <f>F12-F13</f>
        <v/>
      </c>
      <c r="G14" s="513">
        <f>G12-G13</f>
        <v/>
      </c>
      <c r="H14" s="513">
        <f>H12-H13</f>
        <v/>
      </c>
      <c r="I14" s="513">
        <f>I12-I13</f>
        <v/>
      </c>
      <c r="J14" s="513">
        <f>J12-J13</f>
        <v/>
      </c>
      <c r="K14" s="513">
        <f>K12-K13</f>
        <v/>
      </c>
      <c r="L14" s="513">
        <f>L12-L13</f>
        <v/>
      </c>
      <c r="M14" s="513">
        <f>M12-M13</f>
        <v/>
      </c>
    </row>
    <row r="15">
      <c r="A15" s="130" t="inlineStr">
        <is>
          <t>Resultado operativo (EBIT)</t>
        </is>
      </c>
      <c r="C15" s="532">
        <f>PyG!M15</f>
        <v/>
      </c>
      <c r="D15" s="533">
        <f>D8*D16</f>
        <v/>
      </c>
      <c r="E15" s="533">
        <f>E8*E16</f>
        <v/>
      </c>
      <c r="F15" s="533">
        <f>F8*F16</f>
        <v/>
      </c>
      <c r="G15" s="533">
        <f>G8*G16</f>
        <v/>
      </c>
      <c r="H15" s="533">
        <f>H8*H16</f>
        <v/>
      </c>
      <c r="I15" s="533">
        <f>I8*I16</f>
        <v/>
      </c>
      <c r="J15" s="533">
        <f>J8*J16</f>
        <v/>
      </c>
      <c r="K15" s="533">
        <f>K8*K16</f>
        <v/>
      </c>
      <c r="L15" s="533">
        <f>L8*L16</f>
        <v/>
      </c>
      <c r="M15" s="533">
        <f>M8*M16</f>
        <v/>
      </c>
    </row>
    <row r="16">
      <c r="A16" s="111" t="inlineStr">
        <is>
          <t>Margen operativo %</t>
        </is>
      </c>
      <c r="C16" s="498">
        <f>C15/C8</f>
        <v/>
      </c>
      <c r="D16" s="500">
        <f>$C$16+(Escenarios!$C$75-$C$16)*MIN(D$5/Escenarios!$B$11,1)</f>
        <v/>
      </c>
      <c r="E16" s="500">
        <f>$C$16+(Escenarios!$C$75-$C$16)*MIN(E$5/Escenarios!$B$11,1)</f>
        <v/>
      </c>
      <c r="F16" s="500">
        <f>$C$16+(Escenarios!$C$75-$C$16)*MIN(F$5/Escenarios!$B$11,1)</f>
        <v/>
      </c>
      <c r="G16" s="500">
        <f>$C$16+(Escenarios!$C$75-$C$16)*MIN(G$5/Escenarios!$B$11,1)</f>
        <v/>
      </c>
      <c r="H16" s="500">
        <f>$C$16+(Escenarios!$C$75-$C$16)*MIN(H$5/Escenarios!$B$11,1)</f>
        <v/>
      </c>
      <c r="I16" s="500">
        <f>$C$16+(Escenarios!$C$75-$C$16)*MIN(I$5/Escenarios!$B$11,1)</f>
        <v/>
      </c>
      <c r="J16" s="500">
        <f>$C$16+(Escenarios!$C$75-$C$16)*MIN(J$5/Escenarios!$B$11,1)</f>
        <v/>
      </c>
      <c r="K16" s="500">
        <f>$C$16+(Escenarios!$C$75-$C$16)*MIN(K$5/Escenarios!$B$11,1)</f>
        <v/>
      </c>
      <c r="L16" s="500">
        <f>$C$16+(Escenarios!$C$75-$C$16)*MIN(L$5/Escenarios!$B$11,1)</f>
        <v/>
      </c>
      <c r="M16" s="500">
        <f>$C$16+(Escenarios!$C$75-$C$16)*MIN(M$5/Escenarios!$B$11,1)</f>
        <v/>
      </c>
    </row>
    <row r="17">
      <c r="A17" s="111" t="inlineStr">
        <is>
          <t>Amortizaciones</t>
        </is>
      </c>
      <c r="C17" s="497">
        <f>'Cash Flow'!M7</f>
        <v/>
      </c>
      <c r="D17" s="497">
        <f>D8*Escenarios!$B$47</f>
        <v/>
      </c>
      <c r="E17" s="497">
        <f>E8*Escenarios!$B$47</f>
        <v/>
      </c>
      <c r="F17" s="497">
        <f>F8*Escenarios!$B$47</f>
        <v/>
      </c>
      <c r="G17" s="497">
        <f>G8*Escenarios!$B$47</f>
        <v/>
      </c>
      <c r="H17" s="497">
        <f>H8*Escenarios!$B$47</f>
        <v/>
      </c>
      <c r="I17" s="497">
        <f>I8*Escenarios!$B$47</f>
        <v/>
      </c>
      <c r="J17" s="497">
        <f>J8*Escenarios!$B$47</f>
        <v/>
      </c>
      <c r="K17" s="497">
        <f>K8*Escenarios!$B$47</f>
        <v/>
      </c>
      <c r="L17" s="497">
        <f>L8*Escenarios!$B$47</f>
        <v/>
      </c>
      <c r="M17" s="497">
        <f>M8*Escenarios!$B$47</f>
        <v/>
      </c>
    </row>
    <row r="18">
      <c r="A18" s="119" t="inlineStr">
        <is>
          <t>EBITDA</t>
        </is>
      </c>
      <c r="B18" s="147" t="n"/>
      <c r="C18" s="534">
        <f>C15+C17</f>
        <v/>
      </c>
      <c r="D18" s="534">
        <f>D15+D17</f>
        <v/>
      </c>
      <c r="E18" s="534">
        <f>E15+E17</f>
        <v/>
      </c>
      <c r="F18" s="534">
        <f>F15+F17</f>
        <v/>
      </c>
      <c r="G18" s="534">
        <f>G15+G17</f>
        <v/>
      </c>
      <c r="H18" s="534">
        <f>H15+H17</f>
        <v/>
      </c>
      <c r="I18" s="534">
        <f>I15+I17</f>
        <v/>
      </c>
      <c r="J18" s="534">
        <f>J15+J17</f>
        <v/>
      </c>
      <c r="K18" s="534">
        <f>K15+K17</f>
        <v/>
      </c>
      <c r="L18" s="534">
        <f>L15+L17</f>
        <v/>
      </c>
      <c r="M18" s="534">
        <f>M15+M17</f>
        <v/>
      </c>
    </row>
    <row r="19">
      <c r="A19" s="111" t="inlineStr">
        <is>
          <t>Resultado no operativo</t>
        </is>
      </c>
      <c r="C19" s="497">
        <f>PyG!M16</f>
        <v/>
      </c>
      <c r="D19" s="497">
        <f>D8*Escenarios!$B$46</f>
        <v/>
      </c>
      <c r="E19" s="497">
        <f>E8*Escenarios!$B$46</f>
        <v/>
      </c>
      <c r="F19" s="497">
        <f>F8*Escenarios!$B$46</f>
        <v/>
      </c>
      <c r="G19" s="497">
        <f>G8*Escenarios!$B$46</f>
        <v/>
      </c>
      <c r="H19" s="497">
        <f>H8*Escenarios!$B$46</f>
        <v/>
      </c>
      <c r="I19" s="497">
        <f>I8*Escenarios!$B$46</f>
        <v/>
      </c>
      <c r="J19" s="497">
        <f>J8*Escenarios!$B$46</f>
        <v/>
      </c>
      <c r="K19" s="497">
        <f>K8*Escenarios!$B$46</f>
        <v/>
      </c>
      <c r="L19" s="497">
        <f>L8*Escenarios!$B$46</f>
        <v/>
      </c>
      <c r="M19" s="497">
        <f>M8*Escenarios!$B$46</f>
        <v/>
      </c>
    </row>
    <row r="20">
      <c r="A20" s="111" t="inlineStr">
        <is>
          <t>Beneficio antes de impuestos</t>
        </is>
      </c>
      <c r="C20" s="497">
        <f>PyG!M17</f>
        <v/>
      </c>
      <c r="D20" s="513">
        <f>D15+D19</f>
        <v/>
      </c>
      <c r="E20" s="513">
        <f>E15+E19</f>
        <v/>
      </c>
      <c r="F20" s="513">
        <f>F15+F19</f>
        <v/>
      </c>
      <c r="G20" s="513">
        <f>G15+G19</f>
        <v/>
      </c>
      <c r="H20" s="513">
        <f>H15+H19</f>
        <v/>
      </c>
      <c r="I20" s="513">
        <f>I15+I19</f>
        <v/>
      </c>
      <c r="J20" s="513">
        <f>J15+J19</f>
        <v/>
      </c>
      <c r="K20" s="513">
        <f>K15+K19</f>
        <v/>
      </c>
      <c r="L20" s="513">
        <f>L15+L19</f>
        <v/>
      </c>
      <c r="M20" s="513">
        <f>M15+M19</f>
        <v/>
      </c>
    </row>
    <row r="21">
      <c r="A21" s="111" t="inlineStr">
        <is>
          <t>Impuestos</t>
        </is>
      </c>
      <c r="C21" s="497">
        <f>PyG!M18</f>
        <v/>
      </c>
      <c r="D21" s="497">
        <f>MAX(D20,0)*Escenarios!$B$45</f>
        <v/>
      </c>
      <c r="E21" s="497">
        <f>MAX(E20,0)*Escenarios!$B$45</f>
        <v/>
      </c>
      <c r="F21" s="497">
        <f>MAX(F20,0)*Escenarios!$B$45</f>
        <v/>
      </c>
      <c r="G21" s="497">
        <f>MAX(G20,0)*Escenarios!$B$45</f>
        <v/>
      </c>
      <c r="H21" s="497">
        <f>MAX(H20,0)*Escenarios!$B$45</f>
        <v/>
      </c>
      <c r="I21" s="497">
        <f>MAX(I20,0)*Escenarios!$B$45</f>
        <v/>
      </c>
      <c r="J21" s="497">
        <f>MAX(J20,0)*Escenarios!$B$45</f>
        <v/>
      </c>
      <c r="K21" s="497">
        <f>MAX(K20,0)*Escenarios!$B$45</f>
        <v/>
      </c>
      <c r="L21" s="497">
        <f>MAX(L20,0)*Escenarios!$B$45</f>
        <v/>
      </c>
      <c r="M21" s="497">
        <f>MAX(M20,0)*Escenarios!$B$45</f>
        <v/>
      </c>
    </row>
    <row r="22">
      <c r="A22" s="130" t="inlineStr">
        <is>
          <t>Beneficio neto</t>
        </is>
      </c>
      <c r="C22" s="532">
        <f>PyG!M23</f>
        <v/>
      </c>
      <c r="D22" s="533">
        <f>D20-D21</f>
        <v/>
      </c>
      <c r="E22" s="533">
        <f>E20-E21</f>
        <v/>
      </c>
      <c r="F22" s="533">
        <f>F20-F21</f>
        <v/>
      </c>
      <c r="G22" s="533">
        <f>G20-G21</f>
        <v/>
      </c>
      <c r="H22" s="533">
        <f>H20-H21</f>
        <v/>
      </c>
      <c r="I22" s="533">
        <f>I20-I21</f>
        <v/>
      </c>
      <c r="J22" s="533">
        <f>J20-J21</f>
        <v/>
      </c>
      <c r="K22" s="533">
        <f>K20-K21</f>
        <v/>
      </c>
      <c r="L22" s="533">
        <f>L20-L21</f>
        <v/>
      </c>
      <c r="M22" s="533">
        <f>M20-M21</f>
        <v/>
      </c>
    </row>
    <row r="23">
      <c r="A23" s="111" t="inlineStr">
        <is>
          <t>Margen neto %</t>
        </is>
      </c>
      <c r="C23" s="498">
        <f>C22/C8</f>
        <v/>
      </c>
      <c r="D23" s="498">
        <f>D22/D8</f>
        <v/>
      </c>
      <c r="E23" s="498">
        <f>E22/E8</f>
        <v/>
      </c>
      <c r="F23" s="498">
        <f>F22/F8</f>
        <v/>
      </c>
      <c r="G23" s="498">
        <f>G22/G8</f>
        <v/>
      </c>
      <c r="H23" s="498">
        <f>H22/H8</f>
        <v/>
      </c>
      <c r="I23" s="498">
        <f>I22/I8</f>
        <v/>
      </c>
      <c r="J23" s="498">
        <f>J22/J8</f>
        <v/>
      </c>
      <c r="K23" s="498">
        <f>K22/K8</f>
        <v/>
      </c>
      <c r="L23" s="498">
        <f>L22/L8</f>
        <v/>
      </c>
      <c r="M23" s="498">
        <f>M22/M8</f>
        <v/>
      </c>
    </row>
    <row r="24">
      <c r="A24" s="111" t="inlineStr">
        <is>
          <t>Acciones diluidas (M)</t>
        </is>
      </c>
      <c r="C24" s="535">
        <f>PyG!M27</f>
        <v/>
      </c>
      <c r="D24" s="536">
        <f>IF(D38&gt;0,C24+(D32+D39)/D38,C24)</f>
        <v/>
      </c>
      <c r="E24" s="536">
        <f>IF(E38&gt;0,D24+(E32+E39)/E38,D24)</f>
        <v/>
      </c>
      <c r="F24" s="536">
        <f>IF(F38&gt;0,E24+(F32+F39)/F38,E24)</f>
        <v/>
      </c>
      <c r="G24" s="536">
        <f>IF(G38&gt;0,F24+(G32+G39)/G38,F24)</f>
        <v/>
      </c>
      <c r="H24" s="536">
        <f>IF(H38&gt;0,G24+(H32+H39)/H38,G24)</f>
        <v/>
      </c>
      <c r="I24" s="536">
        <f>IF(I38&gt;0,H24+(I32+I39)/I38,H24)</f>
        <v/>
      </c>
      <c r="J24" s="536">
        <f>IF(J38&gt;0,I24+(J32+J39)/J38,I24)</f>
        <v/>
      </c>
      <c r="K24" s="536">
        <f>IF(K38&gt;0,J24+(K32+K39)/K38,J24)</f>
        <v/>
      </c>
      <c r="L24" s="536">
        <f>IF(L38&gt;0,K24+(L32+L39)/L38,K24)</f>
        <v/>
      </c>
      <c r="M24" s="536">
        <f>IF(M38&gt;0,L24+(M32+M39)/M38,L24)</f>
        <v/>
      </c>
    </row>
    <row r="25">
      <c r="A25" s="130" t="inlineStr">
        <is>
          <t>BPA diluido</t>
        </is>
      </c>
      <c r="C25" s="537">
        <f>PyG!M29</f>
        <v/>
      </c>
      <c r="D25" s="506">
        <f>D22/D24</f>
        <v/>
      </c>
      <c r="E25" s="506">
        <f>E22/E24</f>
        <v/>
      </c>
      <c r="F25" s="506">
        <f>F22/F24</f>
        <v/>
      </c>
      <c r="G25" s="506">
        <f>G22/G24</f>
        <v/>
      </c>
      <c r="H25" s="506">
        <f>H22/H24</f>
        <v/>
      </c>
      <c r="I25" s="506">
        <f>I22/I24</f>
        <v/>
      </c>
      <c r="J25" s="506">
        <f>J22/J24</f>
        <v/>
      </c>
      <c r="K25" s="506">
        <f>K22/K24</f>
        <v/>
      </c>
      <c r="L25" s="506">
        <f>L22/L24</f>
        <v/>
      </c>
      <c r="M25" s="506">
        <f>M22/M24</f>
        <v/>
      </c>
    </row>
    <row r="26">
      <c r="A26" s="111" t="inlineStr">
        <is>
          <t>Crecimiento del BPA</t>
        </is>
      </c>
      <c r="D26" s="498">
        <f>IF(C25&gt;0,D25/C25-1,0)</f>
        <v/>
      </c>
      <c r="E26" s="498">
        <f>IF(D25&gt;0,E25/D25-1,0)</f>
        <v/>
      </c>
      <c r="F26" s="498">
        <f>IF(E25&gt;0,F25/E25-1,0)</f>
        <v/>
      </c>
      <c r="G26" s="498">
        <f>IF(F25&gt;0,G25/F25-1,0)</f>
        <v/>
      </c>
      <c r="H26" s="498">
        <f>IF(G25&gt;0,H25/G25-1,0)</f>
        <v/>
      </c>
      <c r="I26" s="498">
        <f>IF(H25&gt;0,I25/H25-1,0)</f>
        <v/>
      </c>
      <c r="J26" s="498">
        <f>IF(I25&gt;0,J25/I25-1,0)</f>
        <v/>
      </c>
      <c r="K26" s="498">
        <f>IF(J25&gt;0,K25/J25-1,0)</f>
        <v/>
      </c>
      <c r="L26" s="498">
        <f>IF(K25&gt;0,L25/K25-1,0)</f>
        <v/>
      </c>
      <c r="M26" s="498">
        <f>IF(L25&gt;0,M25/L25-1,0)</f>
        <v/>
      </c>
    </row>
    <row r="27">
      <c r="A27" s="111" t="inlineStr">
        <is>
          <t>Dividendo por acción</t>
        </is>
      </c>
      <c r="C27" s="493">
        <f>ABS('Cash Flow'!M29)/C24</f>
        <v/>
      </c>
      <c r="D27" s="493">
        <f>MAX(D25,0)*Escenarios!$B$44</f>
        <v/>
      </c>
      <c r="E27" s="493">
        <f>MAX(E25,0)*Escenarios!$B$44</f>
        <v/>
      </c>
      <c r="F27" s="493">
        <f>MAX(F25,0)*Escenarios!$B$44</f>
        <v/>
      </c>
      <c r="G27" s="493">
        <f>MAX(G25,0)*Escenarios!$B$44</f>
        <v/>
      </c>
      <c r="H27" s="493">
        <f>MAX(H25,0)*Escenarios!$B$44</f>
        <v/>
      </c>
      <c r="I27" s="493">
        <f>MAX(I25,0)*Escenarios!$B$44</f>
        <v/>
      </c>
      <c r="J27" s="493">
        <f>MAX(J25,0)*Escenarios!$B$44</f>
        <v/>
      </c>
      <c r="K27" s="493">
        <f>MAX(K25,0)*Escenarios!$B$44</f>
        <v/>
      </c>
      <c r="L27" s="493">
        <f>MAX(L25,0)*Escenarios!$B$44</f>
        <v/>
      </c>
      <c r="M27" s="493">
        <f>MAX(M25,0)*Escenarios!$B$44</f>
        <v/>
      </c>
    </row>
    <row r="29">
      <c r="A29" s="119" t="inlineStr">
        <is>
          <t>FLUJO DE CAJA</t>
        </is>
      </c>
      <c r="B29" s="147" t="n"/>
      <c r="C29" s="147" t="n"/>
      <c r="D29" s="147" t="n"/>
      <c r="E29" s="147" t="n"/>
      <c r="F29" s="147" t="n"/>
      <c r="G29" s="147" t="n"/>
      <c r="H29" s="147" t="n"/>
      <c r="I29" s="147" t="n"/>
      <c r="J29" s="147" t="n"/>
      <c r="K29" s="147" t="n"/>
      <c r="L29" s="147" t="n"/>
      <c r="M29" s="147" t="n"/>
    </row>
    <row r="30">
      <c r="A30" s="111" t="inlineStr">
        <is>
          <t>Beneficio neto</t>
        </is>
      </c>
      <c r="C30" s="513">
        <f>C22</f>
        <v/>
      </c>
      <c r="D30" s="513">
        <f>D22</f>
        <v/>
      </c>
      <c r="E30" s="513">
        <f>E22</f>
        <v/>
      </c>
      <c r="F30" s="513">
        <f>F22</f>
        <v/>
      </c>
      <c r="G30" s="513">
        <f>G22</f>
        <v/>
      </c>
      <c r="H30" s="513">
        <f>H22</f>
        <v/>
      </c>
      <c r="I30" s="513">
        <f>I22</f>
        <v/>
      </c>
      <c r="J30" s="513">
        <f>J22</f>
        <v/>
      </c>
      <c r="K30" s="513">
        <f>K22</f>
        <v/>
      </c>
      <c r="L30" s="513">
        <f>L22</f>
        <v/>
      </c>
      <c r="M30" s="513">
        <f>M22</f>
        <v/>
      </c>
    </row>
    <row r="31">
      <c r="A31" s="111" t="inlineStr">
        <is>
          <t>Amortizaciones</t>
        </is>
      </c>
      <c r="C31" s="513">
        <f>C17</f>
        <v/>
      </c>
      <c r="D31" s="513">
        <f>D17</f>
        <v/>
      </c>
      <c r="E31" s="513">
        <f>E17</f>
        <v/>
      </c>
      <c r="F31" s="513">
        <f>F17</f>
        <v/>
      </c>
      <c r="G31" s="513">
        <f>G17</f>
        <v/>
      </c>
      <c r="H31" s="513">
        <f>H17</f>
        <v/>
      </c>
      <c r="I31" s="513">
        <f>I17</f>
        <v/>
      </c>
      <c r="J31" s="513">
        <f>J17</f>
        <v/>
      </c>
      <c r="K31" s="513">
        <f>K17</f>
        <v/>
      </c>
      <c r="L31" s="513">
        <f>L17</f>
        <v/>
      </c>
      <c r="M31" s="513">
        <f>M17</f>
        <v/>
      </c>
    </row>
    <row r="32">
      <c r="A32" s="111" t="inlineStr">
        <is>
          <t>Remuneración en acciones</t>
        </is>
      </c>
      <c r="C32" s="497">
        <f>'Cash Flow'!M33</f>
        <v/>
      </c>
      <c r="D32" s="497">
        <f>D8*Escenarios!$B$49</f>
        <v/>
      </c>
      <c r="E32" s="497">
        <f>E8*Escenarios!$B$49</f>
        <v/>
      </c>
      <c r="F32" s="497">
        <f>F8*Escenarios!$B$49</f>
        <v/>
      </c>
      <c r="G32" s="497">
        <f>G8*Escenarios!$B$49</f>
        <v/>
      </c>
      <c r="H32" s="497">
        <f>H8*Escenarios!$B$49</f>
        <v/>
      </c>
      <c r="I32" s="497">
        <f>I8*Escenarios!$B$49</f>
        <v/>
      </c>
      <c r="J32" s="497">
        <f>J8*Escenarios!$B$49</f>
        <v/>
      </c>
      <c r="K32" s="497">
        <f>K8*Escenarios!$B$49</f>
        <v/>
      </c>
      <c r="L32" s="497">
        <f>L8*Escenarios!$B$49</f>
        <v/>
      </c>
      <c r="M32" s="497">
        <f>M8*Escenarios!$B$49</f>
        <v/>
      </c>
    </row>
    <row r="33">
      <c r="A33" s="111" t="inlineStr">
        <is>
          <t>Variación del circulante</t>
        </is>
      </c>
      <c r="D33" s="513">
        <f>-(D46-C46)+(D50-C50)</f>
        <v/>
      </c>
      <c r="E33" s="513">
        <f>-(E46-D46)+(E50-D50)</f>
        <v/>
      </c>
      <c r="F33" s="513">
        <f>-(F46-E46)+(F50-E50)</f>
        <v/>
      </c>
      <c r="G33" s="513">
        <f>-(G46-F46)+(G50-F50)</f>
        <v/>
      </c>
      <c r="H33" s="513">
        <f>-(H46-G46)+(H50-G50)</f>
        <v/>
      </c>
      <c r="I33" s="513">
        <f>-(I46-H46)+(I50-H50)</f>
        <v/>
      </c>
      <c r="J33" s="513">
        <f>-(J46-I46)+(J50-I50)</f>
        <v/>
      </c>
      <c r="K33" s="513">
        <f>-(K46-J46)+(K50-J50)</f>
        <v/>
      </c>
      <c r="L33" s="513">
        <f>-(L46-K46)+(L50-K50)</f>
        <v/>
      </c>
      <c r="M33" s="513">
        <f>-(M46-L46)+(M50-L50)</f>
        <v/>
      </c>
    </row>
    <row r="34">
      <c r="A34" s="130" t="inlineStr">
        <is>
          <t>Flujo de caja operativo</t>
        </is>
      </c>
      <c r="C34" s="532">
        <f>'Cash Flow'!M15</f>
        <v/>
      </c>
      <c r="D34" s="533">
        <f>SUM(D30:D33)</f>
        <v/>
      </c>
      <c r="E34" s="533">
        <f>SUM(E30:E33)</f>
        <v/>
      </c>
      <c r="F34" s="533">
        <f>SUM(F30:F33)</f>
        <v/>
      </c>
      <c r="G34" s="533">
        <f>SUM(G30:G33)</f>
        <v/>
      </c>
      <c r="H34" s="533">
        <f>SUM(H30:H33)</f>
        <v/>
      </c>
      <c r="I34" s="533">
        <f>SUM(I30:I33)</f>
        <v/>
      </c>
      <c r="J34" s="533">
        <f>SUM(J30:J33)</f>
        <v/>
      </c>
      <c r="K34" s="533">
        <f>SUM(K30:K33)</f>
        <v/>
      </c>
      <c r="L34" s="533">
        <f>SUM(L30:L33)</f>
        <v/>
      </c>
      <c r="M34" s="533">
        <f>SUM(M30:M33)</f>
        <v/>
      </c>
    </row>
    <row r="35">
      <c r="A35" s="111" t="inlineStr">
        <is>
          <t>Capex</t>
        </is>
      </c>
      <c r="C35" s="497">
        <f>'Cash Flow'!M16</f>
        <v/>
      </c>
      <c r="D35" s="497">
        <f>-D8*Escenarios!$B$48</f>
        <v/>
      </c>
      <c r="E35" s="497">
        <f>-E8*Escenarios!$B$48</f>
        <v/>
      </c>
      <c r="F35" s="497">
        <f>-F8*Escenarios!$B$48</f>
        <v/>
      </c>
      <c r="G35" s="497">
        <f>-G8*Escenarios!$B$48</f>
        <v/>
      </c>
      <c r="H35" s="497">
        <f>-H8*Escenarios!$B$48</f>
        <v/>
      </c>
      <c r="I35" s="497">
        <f>-I8*Escenarios!$B$48</f>
        <v/>
      </c>
      <c r="J35" s="497">
        <f>-J8*Escenarios!$B$48</f>
        <v/>
      </c>
      <c r="K35" s="497">
        <f>-K8*Escenarios!$B$48</f>
        <v/>
      </c>
      <c r="L35" s="497">
        <f>-L8*Escenarios!$B$48</f>
        <v/>
      </c>
      <c r="M35" s="497">
        <f>-M8*Escenarios!$B$48</f>
        <v/>
      </c>
    </row>
    <row r="36">
      <c r="A36" s="130" t="inlineStr">
        <is>
          <t>Flujo de caja libre</t>
        </is>
      </c>
      <c r="C36" s="533">
        <f>C34+C35</f>
        <v/>
      </c>
      <c r="D36" s="533">
        <f>D34+D35</f>
        <v/>
      </c>
      <c r="E36" s="533">
        <f>E34+E35</f>
        <v/>
      </c>
      <c r="F36" s="533">
        <f>F34+F35</f>
        <v/>
      </c>
      <c r="G36" s="533">
        <f>G34+G35</f>
        <v/>
      </c>
      <c r="H36" s="533">
        <f>H34+H35</f>
        <v/>
      </c>
      <c r="I36" s="533">
        <f>I34+I35</f>
        <v/>
      </c>
      <c r="J36" s="533">
        <f>J34+J35</f>
        <v/>
      </c>
      <c r="K36" s="533">
        <f>K34+K35</f>
        <v/>
      </c>
      <c r="L36" s="533">
        <f>L34+L35</f>
        <v/>
      </c>
      <c r="M36" s="533">
        <f>M34+M35</f>
        <v/>
      </c>
    </row>
    <row r="37">
      <c r="A37" s="111" t="inlineStr">
        <is>
          <t>PER supuesto para las recompras</t>
        </is>
      </c>
      <c r="D37" s="499">
        <f>Escenarios!$B$13+(Escenarios!$C$77-Escenarios!$B$13)*(D$5-1)/9</f>
        <v/>
      </c>
      <c r="E37" s="499">
        <f>Escenarios!$B$13+(Escenarios!$C$77-Escenarios!$B$13)*(E$5-1)/9</f>
        <v/>
      </c>
      <c r="F37" s="499">
        <f>Escenarios!$B$13+(Escenarios!$C$77-Escenarios!$B$13)*(F$5-1)/9</f>
        <v/>
      </c>
      <c r="G37" s="499">
        <f>Escenarios!$B$13+(Escenarios!$C$77-Escenarios!$B$13)*(G$5-1)/9</f>
        <v/>
      </c>
      <c r="H37" s="499">
        <f>Escenarios!$B$13+(Escenarios!$C$77-Escenarios!$B$13)*(H$5-1)/9</f>
        <v/>
      </c>
      <c r="I37" s="499">
        <f>Escenarios!$B$13+(Escenarios!$C$77-Escenarios!$B$13)*(I$5-1)/9</f>
        <v/>
      </c>
      <c r="J37" s="499">
        <f>Escenarios!$B$13+(Escenarios!$C$77-Escenarios!$B$13)*(J$5-1)/9</f>
        <v/>
      </c>
      <c r="K37" s="499">
        <f>Escenarios!$B$13+(Escenarios!$C$77-Escenarios!$B$13)*(K$5-1)/9</f>
        <v/>
      </c>
      <c r="L37" s="499">
        <f>Escenarios!$B$13+(Escenarios!$C$77-Escenarios!$B$13)*(L$5-1)/9</f>
        <v/>
      </c>
      <c r="M37" s="499">
        <f>Escenarios!$B$13+(Escenarios!$C$77-Escenarios!$B$13)*(M$5-1)/9</f>
        <v/>
      </c>
    </row>
    <row r="38">
      <c r="A38" s="111" t="inlineStr">
        <is>
          <t>Precio supuesto para las recompras</t>
        </is>
      </c>
      <c r="D38" s="505">
        <f>MAX(C25,0)*D37</f>
        <v/>
      </c>
      <c r="E38" s="505">
        <f>MAX(D25,0)*E37</f>
        <v/>
      </c>
      <c r="F38" s="505">
        <f>MAX(E25,0)*F37</f>
        <v/>
      </c>
      <c r="G38" s="505">
        <f>MAX(F25,0)*G37</f>
        <v/>
      </c>
      <c r="H38" s="505">
        <f>MAX(G25,0)*H37</f>
        <v/>
      </c>
      <c r="I38" s="505">
        <f>MAX(H25,0)*I37</f>
        <v/>
      </c>
      <c r="J38" s="505">
        <f>MAX(I25,0)*J37</f>
        <v/>
      </c>
      <c r="K38" s="505">
        <f>MAX(J25,0)*K37</f>
        <v/>
      </c>
      <c r="L38" s="505">
        <f>MAX(K25,0)*L37</f>
        <v/>
      </c>
      <c r="M38" s="505">
        <f>MAX(L25,0)*M37</f>
        <v/>
      </c>
    </row>
    <row r="39">
      <c r="A39" s="111" t="inlineStr">
        <is>
          <t>Recompra de acciones</t>
        </is>
      </c>
      <c r="C39" s="497">
        <f>'Cash Flow'!M27</f>
        <v/>
      </c>
      <c r="D39" s="497">
        <f>-Escenarios!$C$76*MAX(D36-D22*Escenarios!$B$44,0)</f>
        <v/>
      </c>
      <c r="E39" s="497">
        <f>-Escenarios!$C$76*MAX(E36-E22*Escenarios!$B$44,0)</f>
        <v/>
      </c>
      <c r="F39" s="497">
        <f>-Escenarios!$C$76*MAX(F36-F22*Escenarios!$B$44,0)</f>
        <v/>
      </c>
      <c r="G39" s="497">
        <f>-Escenarios!$C$76*MAX(G36-G22*Escenarios!$B$44,0)</f>
        <v/>
      </c>
      <c r="H39" s="497">
        <f>-Escenarios!$C$76*MAX(H36-H22*Escenarios!$B$44,0)</f>
        <v/>
      </c>
      <c r="I39" s="497">
        <f>-Escenarios!$C$76*MAX(I36-I22*Escenarios!$B$44,0)</f>
        <v/>
      </c>
      <c r="J39" s="497">
        <f>-Escenarios!$C$76*MAX(J36-J22*Escenarios!$B$44,0)</f>
        <v/>
      </c>
      <c r="K39" s="497">
        <f>-Escenarios!$C$76*MAX(K36-K22*Escenarios!$B$44,0)</f>
        <v/>
      </c>
      <c r="L39" s="497">
        <f>-Escenarios!$C$76*MAX(L36-L22*Escenarios!$B$44,0)</f>
        <v/>
      </c>
      <c r="M39" s="497">
        <f>-Escenarios!$C$76*MAX(M36-M22*Escenarios!$B$44,0)</f>
        <v/>
      </c>
    </row>
    <row r="40">
      <c r="A40" s="111" t="inlineStr">
        <is>
          <t>Dividendos pagados</t>
        </is>
      </c>
      <c r="C40" s="497">
        <f>-ABS('Cash Flow'!M29)</f>
        <v/>
      </c>
      <c r="D40" s="497">
        <f>-D22*Escenarios!$B$44*(D22&gt;0)</f>
        <v/>
      </c>
      <c r="E40" s="497">
        <f>-E22*Escenarios!$B$44*(E22&gt;0)</f>
        <v/>
      </c>
      <c r="F40" s="497">
        <f>-F22*Escenarios!$B$44*(F22&gt;0)</f>
        <v/>
      </c>
      <c r="G40" s="497">
        <f>-G22*Escenarios!$B$44*(G22&gt;0)</f>
        <v/>
      </c>
      <c r="H40" s="497">
        <f>-H22*Escenarios!$B$44*(H22&gt;0)</f>
        <v/>
      </c>
      <c r="I40" s="497">
        <f>-I22*Escenarios!$B$44*(I22&gt;0)</f>
        <v/>
      </c>
      <c r="J40" s="497">
        <f>-J22*Escenarios!$B$44*(J22&gt;0)</f>
        <v/>
      </c>
      <c r="K40" s="497">
        <f>-K22*Escenarios!$B$44*(K22&gt;0)</f>
        <v/>
      </c>
      <c r="L40" s="497">
        <f>-L22*Escenarios!$B$44*(L22&gt;0)</f>
        <v/>
      </c>
      <c r="M40" s="497">
        <f>-M22*Escenarios!$B$44*(M22&gt;0)</f>
        <v/>
      </c>
    </row>
    <row r="41">
      <c r="A41" s="111" t="inlineStr">
        <is>
          <t>Variación de deuda</t>
        </is>
      </c>
      <c r="D41" s="513">
        <f>0</f>
        <v/>
      </c>
      <c r="E41" s="513">
        <f>0</f>
        <v/>
      </c>
      <c r="F41" s="513">
        <f>0</f>
        <v/>
      </c>
      <c r="G41" s="513">
        <f>0</f>
        <v/>
      </c>
      <c r="H41" s="513">
        <f>0</f>
        <v/>
      </c>
      <c r="I41" s="513">
        <f>0</f>
        <v/>
      </c>
      <c r="J41" s="513">
        <f>0</f>
        <v/>
      </c>
      <c r="K41" s="513">
        <f>0</f>
        <v/>
      </c>
      <c r="L41" s="513">
        <f>0</f>
        <v/>
      </c>
      <c r="M41" s="513">
        <f>0</f>
        <v/>
      </c>
    </row>
    <row r="42">
      <c r="A42" s="130" t="inlineStr">
        <is>
          <t>Variación de caja</t>
        </is>
      </c>
      <c r="C42" s="154" t="n"/>
      <c r="D42" s="533">
        <f>D36+D39+D40+D41</f>
        <v/>
      </c>
      <c r="E42" s="533">
        <f>E36+E39+E40+E41</f>
        <v/>
      </c>
      <c r="F42" s="533">
        <f>F36+F39+F40+F41</f>
        <v/>
      </c>
      <c r="G42" s="533">
        <f>G36+G39+G40+G41</f>
        <v/>
      </c>
      <c r="H42" s="533">
        <f>H36+H39+H40+H41</f>
        <v/>
      </c>
      <c r="I42" s="533">
        <f>I36+I39+I40+I41</f>
        <v/>
      </c>
      <c r="J42" s="533">
        <f>J36+J39+J40+J41</f>
        <v/>
      </c>
      <c r="K42" s="533">
        <f>K36+K39+K40+K41</f>
        <v/>
      </c>
      <c r="L42" s="533">
        <f>L36+L39+L40+L41</f>
        <v/>
      </c>
      <c r="M42" s="533">
        <f>M36+M39+M40+M41</f>
        <v/>
      </c>
    </row>
    <row r="44">
      <c r="A44" s="119" t="inlineStr">
        <is>
          <t>BALANCE</t>
        </is>
      </c>
      <c r="B44" s="147" t="n"/>
      <c r="C44" s="147" t="n"/>
      <c r="D44" s="147" t="n"/>
      <c r="E44" s="147" t="n"/>
      <c r="F44" s="147" t="n"/>
      <c r="G44" s="147" t="n"/>
      <c r="H44" s="147" t="n"/>
      <c r="I44" s="147" t="n"/>
      <c r="J44" s="147" t="n"/>
      <c r="K44" s="147" t="n"/>
      <c r="L44" s="147" t="n"/>
      <c r="M44" s="147" t="n"/>
    </row>
    <row r="45">
      <c r="A45" s="111" t="inlineStr">
        <is>
          <t>Caja e inversiones a corto</t>
        </is>
      </c>
      <c r="C45" s="497">
        <f>Balance!M5</f>
        <v/>
      </c>
      <c r="D45" s="513">
        <f>C45+D42</f>
        <v/>
      </c>
      <c r="E45" s="513">
        <f>D45+E42</f>
        <v/>
      </c>
      <c r="F45" s="513">
        <f>E45+F42</f>
        <v/>
      </c>
      <c r="G45" s="513">
        <f>F45+G42</f>
        <v/>
      </c>
      <c r="H45" s="513">
        <f>G45+H42</f>
        <v/>
      </c>
      <c r="I45" s="513">
        <f>H45+I42</f>
        <v/>
      </c>
      <c r="J45" s="513">
        <f>I45+J42</f>
        <v/>
      </c>
      <c r="K45" s="513">
        <f>J45+K42</f>
        <v/>
      </c>
      <c r="L45" s="513">
        <f>K45+L42</f>
        <v/>
      </c>
      <c r="M45" s="513">
        <f>L45+M42</f>
        <v/>
      </c>
    </row>
    <row r="46">
      <c r="A46" s="111" t="inlineStr">
        <is>
          <t>Activo circulante operativo</t>
        </is>
      </c>
      <c r="C46" s="497">
        <f>Balance!M6+Balance!M7+Balance!M8+Balance!M9</f>
        <v/>
      </c>
      <c r="D46" s="497">
        <f>D8*Escenarios!$B$51</f>
        <v/>
      </c>
      <c r="E46" s="497">
        <f>E8*Escenarios!$B$51</f>
        <v/>
      </c>
      <c r="F46" s="497">
        <f>F8*Escenarios!$B$51</f>
        <v/>
      </c>
      <c r="G46" s="497">
        <f>G8*Escenarios!$B$51</f>
        <v/>
      </c>
      <c r="H46" s="497">
        <f>H8*Escenarios!$B$51</f>
        <v/>
      </c>
      <c r="I46" s="497">
        <f>I8*Escenarios!$B$51</f>
        <v/>
      </c>
      <c r="J46" s="497">
        <f>J8*Escenarios!$B$51</f>
        <v/>
      </c>
      <c r="K46" s="497">
        <f>K8*Escenarios!$B$51</f>
        <v/>
      </c>
      <c r="L46" s="497">
        <f>L8*Escenarios!$B$51</f>
        <v/>
      </c>
      <c r="M46" s="497">
        <f>M8*Escenarios!$B$51</f>
        <v/>
      </c>
    </row>
    <row r="47">
      <c r="A47" s="111" t="inlineStr">
        <is>
          <t>Activo no corriente</t>
        </is>
      </c>
      <c r="C47" s="497">
        <f>Balance!M15</f>
        <v/>
      </c>
      <c r="D47" s="513">
        <f>C47-D35-D17</f>
        <v/>
      </c>
      <c r="E47" s="513">
        <f>D47-E35-E17</f>
        <v/>
      </c>
      <c r="F47" s="513">
        <f>E47-F35-F17</f>
        <v/>
      </c>
      <c r="G47" s="513">
        <f>F47-G35-G17</f>
        <v/>
      </c>
      <c r="H47" s="513">
        <f>G47-H35-H17</f>
        <v/>
      </c>
      <c r="I47" s="513">
        <f>H47-I35-I17</f>
        <v/>
      </c>
      <c r="J47" s="513">
        <f>I47-J35-J17</f>
        <v/>
      </c>
      <c r="K47" s="513">
        <f>J47-K35-K17</f>
        <v/>
      </c>
      <c r="L47" s="513">
        <f>K47-L35-L17</f>
        <v/>
      </c>
      <c r="M47" s="513">
        <f>L47-M35-M17</f>
        <v/>
      </c>
    </row>
    <row r="48">
      <c r="A48" s="130" t="inlineStr">
        <is>
          <t>Total activo</t>
        </is>
      </c>
      <c r="C48" s="533">
        <f>C45+C46+C47</f>
        <v/>
      </c>
      <c r="D48" s="533">
        <f>D45+D46+D47</f>
        <v/>
      </c>
      <c r="E48" s="533">
        <f>E45+E46+E47</f>
        <v/>
      </c>
      <c r="F48" s="533">
        <f>F45+F46+F47</f>
        <v/>
      </c>
      <c r="G48" s="533">
        <f>G45+G46+G47</f>
        <v/>
      </c>
      <c r="H48" s="533">
        <f>H45+H46+H47</f>
        <v/>
      </c>
      <c r="I48" s="533">
        <f>I45+I46+I47</f>
        <v/>
      </c>
      <c r="J48" s="533">
        <f>J45+J46+J47</f>
        <v/>
      </c>
      <c r="K48" s="533">
        <f>K45+K46+K47</f>
        <v/>
      </c>
      <c r="L48" s="533">
        <f>L45+L46+L47</f>
        <v/>
      </c>
      <c r="M48" s="533">
        <f>M45+M46+M47</f>
        <v/>
      </c>
    </row>
    <row r="50">
      <c r="A50" s="111" t="inlineStr">
        <is>
          <t>Pasivo circulante</t>
        </is>
      </c>
      <c r="C50" s="497">
        <f>Balance!M17</f>
        <v/>
      </c>
      <c r="D50" s="497">
        <f>D8*Escenarios!$B$52</f>
        <v/>
      </c>
      <c r="E50" s="497">
        <f>E8*Escenarios!$B$52</f>
        <v/>
      </c>
      <c r="F50" s="497">
        <f>F8*Escenarios!$B$52</f>
        <v/>
      </c>
      <c r="G50" s="497">
        <f>G8*Escenarios!$B$52</f>
        <v/>
      </c>
      <c r="H50" s="497">
        <f>H8*Escenarios!$B$52</f>
        <v/>
      </c>
      <c r="I50" s="497">
        <f>I8*Escenarios!$B$52</f>
        <v/>
      </c>
      <c r="J50" s="497">
        <f>J8*Escenarios!$B$52</f>
        <v/>
      </c>
      <c r="K50" s="497">
        <f>K8*Escenarios!$B$52</f>
        <v/>
      </c>
      <c r="L50" s="497">
        <f>L8*Escenarios!$B$52</f>
        <v/>
      </c>
      <c r="M50" s="497">
        <f>M8*Escenarios!$B$52</f>
        <v/>
      </c>
    </row>
    <row r="51">
      <c r="A51" s="111" t="inlineStr">
        <is>
          <t>Deuda a largo plazo</t>
        </is>
      </c>
      <c r="C51" s="497">
        <f>Balance!M18</f>
        <v/>
      </c>
      <c r="D51" s="513">
        <f>C51+D41</f>
        <v/>
      </c>
      <c r="E51" s="513">
        <f>D51+E41</f>
        <v/>
      </c>
      <c r="F51" s="513">
        <f>E51+F41</f>
        <v/>
      </c>
      <c r="G51" s="513">
        <f>F51+G41</f>
        <v/>
      </c>
      <c r="H51" s="513">
        <f>G51+H41</f>
        <v/>
      </c>
      <c r="I51" s="513">
        <f>H51+I41</f>
        <v/>
      </c>
      <c r="J51" s="513">
        <f>I51+J41</f>
        <v/>
      </c>
      <c r="K51" s="513">
        <f>J51+K41</f>
        <v/>
      </c>
      <c r="L51" s="513">
        <f>K51+L41</f>
        <v/>
      </c>
      <c r="M51" s="513">
        <f>L51+M41</f>
        <v/>
      </c>
    </row>
    <row r="52">
      <c r="A52" s="111" t="inlineStr">
        <is>
          <t>Otros pasivos a largo plazo</t>
        </is>
      </c>
      <c r="C52" s="497">
        <f>Balance!M20-Balance!M18</f>
        <v/>
      </c>
      <c r="D52" s="513">
        <f>C52</f>
        <v/>
      </c>
      <c r="E52" s="513">
        <f>D52</f>
        <v/>
      </c>
      <c r="F52" s="513">
        <f>E52</f>
        <v/>
      </c>
      <c r="G52" s="513">
        <f>F52</f>
        <v/>
      </c>
      <c r="H52" s="513">
        <f>G52</f>
        <v/>
      </c>
      <c r="I52" s="513">
        <f>H52</f>
        <v/>
      </c>
      <c r="J52" s="513">
        <f>I52</f>
        <v/>
      </c>
      <c r="K52" s="513">
        <f>J52</f>
        <v/>
      </c>
      <c r="L52" s="513">
        <f>K52</f>
        <v/>
      </c>
      <c r="M52" s="513">
        <f>L52</f>
        <v/>
      </c>
    </row>
    <row r="53">
      <c r="A53" s="111" t="inlineStr">
        <is>
          <t>Patrimonio neto</t>
        </is>
      </c>
      <c r="C53" s="497">
        <f>Balance!M26</f>
        <v/>
      </c>
      <c r="D53" s="513">
        <f>C53+D22+D32+D39+D40</f>
        <v/>
      </c>
      <c r="E53" s="513">
        <f>D53+E22+E32+E39+E40</f>
        <v/>
      </c>
      <c r="F53" s="513">
        <f>E53+F22+F32+F39+F40</f>
        <v/>
      </c>
      <c r="G53" s="513">
        <f>F53+G22+G32+G39+G40</f>
        <v/>
      </c>
      <c r="H53" s="513">
        <f>G53+H22+H32+H39+H40</f>
        <v/>
      </c>
      <c r="I53" s="513">
        <f>H53+I22+I32+I39+I40</f>
        <v/>
      </c>
      <c r="J53" s="513">
        <f>I53+J22+J32+J39+J40</f>
        <v/>
      </c>
      <c r="K53" s="513">
        <f>J53+K22+K32+K39+K40</f>
        <v/>
      </c>
      <c r="L53" s="513">
        <f>K53+L22+L32+L39+L40</f>
        <v/>
      </c>
      <c r="M53" s="513">
        <f>L53+M22+M32+M39+M40</f>
        <v/>
      </c>
    </row>
    <row r="54">
      <c r="A54" s="130" t="inlineStr">
        <is>
          <t>Total pasivo y patrimonio</t>
        </is>
      </c>
      <c r="C54" s="533">
        <f>C50+C51+C52+C53</f>
        <v/>
      </c>
      <c r="D54" s="533">
        <f>D50+D51+D52+D53</f>
        <v/>
      </c>
      <c r="E54" s="533">
        <f>E50+E51+E52+E53</f>
        <v/>
      </c>
      <c r="F54" s="533">
        <f>F50+F51+F52+F53</f>
        <v/>
      </c>
      <c r="G54" s="533">
        <f>G50+G51+G52+G53</f>
        <v/>
      </c>
      <c r="H54" s="533">
        <f>H50+H51+H52+H53</f>
        <v/>
      </c>
      <c r="I54" s="533">
        <f>I50+I51+I52+I53</f>
        <v/>
      </c>
      <c r="J54" s="533">
        <f>J50+J51+J52+J53</f>
        <v/>
      </c>
      <c r="K54" s="533">
        <f>K50+K51+K52+K53</f>
        <v/>
      </c>
      <c r="L54" s="533">
        <f>L50+L51+L52+L53</f>
        <v/>
      </c>
      <c r="M54" s="533">
        <f>M50+M51+M52+M53</f>
        <v/>
      </c>
    </row>
    <row r="55">
      <c r="A55" s="111" t="inlineStr">
        <is>
          <t>Comprobación (debe ser 0)</t>
        </is>
      </c>
      <c r="C55" s="513">
        <f>ROUND(C48-C54,3)</f>
        <v/>
      </c>
      <c r="D55" s="513">
        <f>ROUND(D48-D54,3)</f>
        <v/>
      </c>
      <c r="E55" s="513">
        <f>ROUND(E48-E54,3)</f>
        <v/>
      </c>
      <c r="F55" s="513">
        <f>ROUND(F48-F54,3)</f>
        <v/>
      </c>
      <c r="G55" s="513">
        <f>ROUND(G48-G54,3)</f>
        <v/>
      </c>
      <c r="H55" s="513">
        <f>ROUND(H48-H54,3)</f>
        <v/>
      </c>
      <c r="I55" s="513">
        <f>ROUND(I48-I54,3)</f>
        <v/>
      </c>
      <c r="J55" s="513">
        <f>ROUND(J48-J54,3)</f>
        <v/>
      </c>
      <c r="K55" s="513">
        <f>ROUND(K48-K54,3)</f>
        <v/>
      </c>
      <c r="L55" s="513">
        <f>ROUND(L48-L54,3)</f>
        <v/>
      </c>
      <c r="M55" s="513">
        <f>ROUND(M48-M54,3)</f>
        <v/>
      </c>
    </row>
    <row r="57">
      <c r="A57" s="119" t="inlineStr">
        <is>
          <t>RATIOS</t>
        </is>
      </c>
      <c r="B57" s="147" t="n"/>
      <c r="C57" s="147" t="n"/>
      <c r="D57" s="147" t="n"/>
      <c r="E57" s="147" t="n"/>
      <c r="F57" s="147" t="n"/>
      <c r="G57" s="147" t="n"/>
      <c r="H57" s="147" t="n"/>
      <c r="I57" s="147" t="n"/>
      <c r="J57" s="147" t="n"/>
      <c r="K57" s="147" t="n"/>
      <c r="L57" s="147" t="n"/>
      <c r="M57" s="147" t="n"/>
    </row>
    <row r="58">
      <c r="A58" s="119" t="inlineStr">
        <is>
          <t>ROE</t>
        </is>
      </c>
      <c r="B58" s="147" t="n"/>
      <c r="C58" s="538">
        <f>C22/C53</f>
        <v/>
      </c>
      <c r="D58" s="538">
        <f>IFERROR(D22/AVERAGE(C53,D53),0)</f>
        <v/>
      </c>
      <c r="E58" s="538">
        <f>IFERROR(E22/AVERAGE(D53,E53),0)</f>
        <v/>
      </c>
      <c r="F58" s="538">
        <f>IFERROR(F22/AVERAGE(E53,F53),0)</f>
        <v/>
      </c>
      <c r="G58" s="538">
        <f>IFERROR(G22/AVERAGE(F53,G53),0)</f>
        <v/>
      </c>
      <c r="H58" s="538">
        <f>IFERROR(H22/AVERAGE(G53,H53),0)</f>
        <v/>
      </c>
      <c r="I58" s="538">
        <f>IFERROR(I22/AVERAGE(H53,I53),0)</f>
        <v/>
      </c>
      <c r="J58" s="538">
        <f>IFERROR(J22/AVERAGE(I53,J53),0)</f>
        <v/>
      </c>
      <c r="K58" s="538">
        <f>IFERROR(K22/AVERAGE(J53,K53),0)</f>
        <v/>
      </c>
      <c r="L58" s="538">
        <f>IFERROR(L22/AVERAGE(K53,L53),0)</f>
        <v/>
      </c>
      <c r="M58" s="538">
        <f>IFERROR(M22/AVERAGE(L53,M53),0)</f>
        <v/>
      </c>
    </row>
    <row r="59">
      <c r="A59" s="111" t="inlineStr">
        <is>
          <t>Valor contable por acción</t>
        </is>
      </c>
      <c r="C59" s="505">
        <f>C53/C24</f>
        <v/>
      </c>
      <c r="D59" s="505">
        <f>D53/D24</f>
        <v/>
      </c>
      <c r="E59" s="505">
        <f>E53/E24</f>
        <v/>
      </c>
      <c r="F59" s="505">
        <f>F53/F24</f>
        <v/>
      </c>
      <c r="G59" s="505">
        <f>G53/G24</f>
        <v/>
      </c>
      <c r="H59" s="505">
        <f>H53/H24</f>
        <v/>
      </c>
      <c r="I59" s="505">
        <f>I53/I24</f>
        <v/>
      </c>
      <c r="J59" s="505">
        <f>J53/J24</f>
        <v/>
      </c>
      <c r="K59" s="505">
        <f>K53/K24</f>
        <v/>
      </c>
      <c r="L59" s="505">
        <f>L53/L24</f>
        <v/>
      </c>
      <c r="M59" s="505">
        <f>M53/M24</f>
        <v/>
      </c>
    </row>
    <row r="60">
      <c r="A60" s="111" t="inlineStr">
        <is>
          <t>Deuda neta / EBITDA</t>
        </is>
      </c>
      <c r="C60" s="510">
        <f>IF(C18&gt;0,(C51-C45)/C18,"n.a.")</f>
        <v/>
      </c>
      <c r="D60" s="510">
        <f>IF(D18&gt;0,(D51-D45)/D18,"n.a.")</f>
        <v/>
      </c>
      <c r="E60" s="510">
        <f>IF(E18&gt;0,(E51-E45)/E18,"n.a.")</f>
        <v/>
      </c>
      <c r="F60" s="510">
        <f>IF(F18&gt;0,(F51-F45)/F18,"n.a.")</f>
        <v/>
      </c>
      <c r="G60" s="510">
        <f>IF(G18&gt;0,(G51-G45)/G18,"n.a.")</f>
        <v/>
      </c>
      <c r="H60" s="510">
        <f>IF(H18&gt;0,(H51-H45)/H18,"n.a.")</f>
        <v/>
      </c>
      <c r="I60" s="510">
        <f>IF(I18&gt;0,(I51-I45)/I18,"n.a.")</f>
        <v/>
      </c>
      <c r="J60" s="510">
        <f>IF(J18&gt;0,(J51-J45)/J18,"n.a.")</f>
        <v/>
      </c>
      <c r="K60" s="510">
        <f>IF(K18&gt;0,(K51-K45)/K18,"n.a.")</f>
        <v/>
      </c>
      <c r="L60" s="510">
        <f>IF(L18&gt;0,(L51-L45)/L18,"n.a.")</f>
        <v/>
      </c>
      <c r="M60" s="510">
        <f>IF(M18&gt;0,(M51-M45)/M18,"n.a.")</f>
        <v/>
      </c>
    </row>
    <row r="61">
      <c r="A61" s="111" t="inlineStr">
        <is>
          <t>Flujo de caja libre por acción</t>
        </is>
      </c>
      <c r="C61" s="505">
        <f>C36/C24</f>
        <v/>
      </c>
      <c r="D61" s="505">
        <f>D36/D24</f>
        <v/>
      </c>
      <c r="E61" s="505">
        <f>E36/E24</f>
        <v/>
      </c>
      <c r="F61" s="505">
        <f>F36/F24</f>
        <v/>
      </c>
      <c r="G61" s="505">
        <f>G36/G24</f>
        <v/>
      </c>
      <c r="H61" s="505">
        <f>H36/H24</f>
        <v/>
      </c>
      <c r="I61" s="505">
        <f>I36/I24</f>
        <v/>
      </c>
      <c r="J61" s="505">
        <f>J36/J24</f>
        <v/>
      </c>
      <c r="K61" s="505">
        <f>K36/K24</f>
        <v/>
      </c>
      <c r="L61" s="505">
        <f>L36/L24</f>
        <v/>
      </c>
      <c r="M61" s="505">
        <f>M36/M24</f>
        <v/>
      </c>
    </row>
    <row r="62" ht="15.75" customHeight="1" s="377" thickBot="1">
      <c r="A62" s="196" t="inlineStr">
        <is>
          <t>Variación de acciones en el año</t>
        </is>
      </c>
      <c r="B62" s="197" t="n"/>
      <c r="C62" s="198">
        <f>PyG!M27/PyG!L27-1</f>
        <v/>
      </c>
      <c r="D62" s="199">
        <f>D24/C24-1</f>
        <v/>
      </c>
      <c r="E62" s="199">
        <f>E24/D24-1</f>
        <v/>
      </c>
      <c r="F62" s="199">
        <f>F24/E24-1</f>
        <v/>
      </c>
      <c r="G62" s="199">
        <f>G24/F24-1</f>
        <v/>
      </c>
      <c r="H62" s="199">
        <f>H24/G24-1</f>
        <v/>
      </c>
      <c r="I62" s="199">
        <f>I24/H24-1</f>
        <v/>
      </c>
      <c r="J62" s="199">
        <f>J24/I24-1</f>
        <v/>
      </c>
      <c r="K62" s="199">
        <f>K24/J24-1</f>
        <v/>
      </c>
      <c r="L62" s="199">
        <f>L24/K24-1</f>
        <v/>
      </c>
      <c r="M62" s="199">
        <f>M24/L24-1</f>
        <v/>
      </c>
    </row>
    <row r="63" ht="15.75" customHeight="1" s="377" thickTop="1"/>
    <row r="64">
      <c r="A64" s="108" t="inlineStr">
        <is>
          <t>Recompras: la parte del flujo de caja libre (después de dividendos) que indica el escenario. Las acciones bajan en lo recomprado y suben en la remuneración en acciones, al precio que resulta del BPA del año anterior y de un PER que pasa del actual al de salida.</t>
        </is>
      </c>
    </row>
    <row r="65">
      <c r="A65" s="108" t="inlineStr">
        <is>
          <t>Márgenes: pasan en línea recta del último real al del escenario en los años indicados en «Escenarios». El activo no corriente crece con el capex y baja con las amortizaciones. La caja cuadra el balance.</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M65"/>
  <sheetViews>
    <sheetView showGridLines="0" zoomScaleNormal="100" workbookViewId="0">
      <pane xSplit="2" ySplit="4" topLeftCell="C38" activePane="bottomRight" state="frozen"/>
      <selection pane="topRight" activeCell="C1" sqref="C1"/>
      <selection pane="bottomLeft" activeCell="A5" sqref="A5"/>
      <selection pane="bottomRight" activeCell="A22" sqref="A22:M22"/>
    </sheetView>
  </sheetViews>
  <sheetFormatPr baseColWidth="10" defaultColWidth="8.5703125" defaultRowHeight="15"/>
  <cols>
    <col width="49.5703125" customWidth="1" style="377" min="1" max="1"/>
    <col width="9.5703125" customWidth="1" style="377" min="2" max="2"/>
    <col width="13.28515625" customWidth="1" style="377" min="3" max="13"/>
  </cols>
  <sheetData>
    <row r="1" ht="18.75" customHeight="1" s="377">
      <c r="A1" s="107" t="inlineStr">
        <is>
          <t>ADOBE · Proyección del escenario base</t>
        </is>
      </c>
    </row>
    <row r="2">
      <c r="A2" s="108" t="inlineStr">
        <is>
          <t>Millones de USD salvo datos por acción. Supuestos en la hoja «Escenarios». La columna 2025 es real.</t>
        </is>
      </c>
    </row>
    <row r="4" ht="15.75" customHeight="1" s="377" thickBot="1">
      <c r="A4" s="119" t="inlineStr">
        <is>
          <t>Ejercicio</t>
        </is>
      </c>
      <c r="B4" s="120" t="n"/>
      <c r="C4" s="195" t="inlineStr">
        <is>
          <t>2025 real</t>
        </is>
      </c>
      <c r="D4" s="195" t="inlineStr">
        <is>
          <t>2026</t>
        </is>
      </c>
      <c r="E4" s="195" t="inlineStr">
        <is>
          <t>2027</t>
        </is>
      </c>
      <c r="F4" s="195" t="inlineStr">
        <is>
          <t>2028</t>
        </is>
      </c>
      <c r="G4" s="195" t="inlineStr">
        <is>
          <t>2029</t>
        </is>
      </c>
      <c r="H4" s="195" t="inlineStr">
        <is>
          <t>2030</t>
        </is>
      </c>
      <c r="I4" s="195" t="inlineStr">
        <is>
          <t>2031</t>
        </is>
      </c>
      <c r="J4" s="195" t="inlineStr">
        <is>
          <t>2032</t>
        </is>
      </c>
      <c r="K4" s="195" t="inlineStr">
        <is>
          <t>2033</t>
        </is>
      </c>
      <c r="L4" s="195" t="inlineStr">
        <is>
          <t>2034</t>
        </is>
      </c>
      <c r="M4" s="195" t="inlineStr">
        <is>
          <t>2035</t>
        </is>
      </c>
    </row>
    <row r="5">
      <c r="A5" s="111" t="inlineStr">
        <is>
          <t>Año de proyección</t>
        </is>
      </c>
      <c r="C5" s="126" t="n">
        <v>0</v>
      </c>
      <c r="D5" s="126" t="n">
        <v>1</v>
      </c>
      <c r="E5" s="126" t="n">
        <v>2</v>
      </c>
      <c r="F5" s="126" t="n">
        <v>3</v>
      </c>
      <c r="G5" s="126" t="n">
        <v>4</v>
      </c>
      <c r="H5" s="126" t="n">
        <v>5</v>
      </c>
      <c r="I5" s="126" t="n">
        <v>6</v>
      </c>
      <c r="J5" s="126" t="n">
        <v>7</v>
      </c>
      <c r="K5" s="126" t="n">
        <v>8</v>
      </c>
      <c r="L5" s="126" t="n">
        <v>9</v>
      </c>
      <c r="M5" s="126" t="n">
        <v>10</v>
      </c>
    </row>
    <row r="6">
      <c r="A6" s="119" t="inlineStr">
        <is>
          <t>CUENTA DE RESULTADOS</t>
        </is>
      </c>
      <c r="B6" s="147" t="n"/>
      <c r="C6" s="147" t="n"/>
      <c r="D6" s="147" t="n"/>
      <c r="E6" s="147" t="n"/>
      <c r="F6" s="147" t="n"/>
      <c r="G6" s="147" t="n"/>
      <c r="H6" s="147" t="n"/>
      <c r="I6" s="147" t="n"/>
      <c r="J6" s="147" t="n"/>
      <c r="K6" s="147" t="n"/>
      <c r="L6" s="147" t="n"/>
      <c r="M6" s="147" t="n"/>
    </row>
    <row r="7">
      <c r="A7" s="111" t="inlineStr">
        <is>
          <t>Crecimiento de ventas</t>
        </is>
      </c>
      <c r="C7" s="500">
        <f>PyG!M8/PyG!L8-1</f>
        <v/>
      </c>
      <c r="D7" s="500">
        <f>Escenarios!$D$72+(Escenarios!$D$73-Escenarios!$D$72)*(D$5-1)/9</f>
        <v/>
      </c>
      <c r="E7" s="500">
        <f>Escenarios!$D$72+(Escenarios!$D$73-Escenarios!$D$72)*(E$5-1)/9</f>
        <v/>
      </c>
      <c r="F7" s="500">
        <f>Escenarios!$D$72+(Escenarios!$D$73-Escenarios!$D$72)*(F$5-1)/9</f>
        <v/>
      </c>
      <c r="G7" s="500">
        <f>Escenarios!$D$72+(Escenarios!$D$73-Escenarios!$D$72)*(G$5-1)/9</f>
        <v/>
      </c>
      <c r="H7" s="500">
        <f>Escenarios!$D$72+(Escenarios!$D$73-Escenarios!$D$72)*(H$5-1)/9</f>
        <v/>
      </c>
      <c r="I7" s="500">
        <f>Escenarios!$D$72+(Escenarios!$D$73-Escenarios!$D$72)*(I$5-1)/9</f>
        <v/>
      </c>
      <c r="J7" s="500">
        <f>Escenarios!$D$72+(Escenarios!$D$73-Escenarios!$D$72)*(J$5-1)/9</f>
        <v/>
      </c>
      <c r="K7" s="500">
        <f>Escenarios!$D$72+(Escenarios!$D$73-Escenarios!$D$72)*(K$5-1)/9</f>
        <v/>
      </c>
      <c r="L7" s="500">
        <f>Escenarios!$D$72+(Escenarios!$D$73-Escenarios!$D$72)*(L$5-1)/9</f>
        <v/>
      </c>
      <c r="M7" s="500">
        <f>Escenarios!$D$72+(Escenarios!$D$73-Escenarios!$D$72)*(M$5-1)/9</f>
        <v/>
      </c>
    </row>
    <row r="8">
      <c r="A8" s="130" t="inlineStr">
        <is>
          <t>Ventas</t>
        </is>
      </c>
      <c r="C8" s="532">
        <f>PyG!M8</f>
        <v/>
      </c>
      <c r="D8" s="533">
        <f>C8*(1+D7)</f>
        <v/>
      </c>
      <c r="E8" s="533">
        <f>D8*(1+E7)</f>
        <v/>
      </c>
      <c r="F8" s="533">
        <f>E8*(1+F7)</f>
        <v/>
      </c>
      <c r="G8" s="533">
        <f>F8*(1+G7)</f>
        <v/>
      </c>
      <c r="H8" s="533">
        <f>G8*(1+H7)</f>
        <v/>
      </c>
      <c r="I8" s="533">
        <f>H8*(1+I7)</f>
        <v/>
      </c>
      <c r="J8" s="533">
        <f>I8*(1+J7)</f>
        <v/>
      </c>
      <c r="K8" s="533">
        <f>J8*(1+K7)</f>
        <v/>
      </c>
      <c r="L8" s="533">
        <f>K8*(1+L7)</f>
        <v/>
      </c>
      <c r="M8" s="533">
        <f>L8*(1+M7)</f>
        <v/>
      </c>
    </row>
    <row r="9">
      <c r="A9" s="111" t="inlineStr">
        <is>
          <t>Coste de ventas</t>
        </is>
      </c>
      <c r="C9" s="497">
        <f>PyG!M9</f>
        <v/>
      </c>
      <c r="D9" s="513">
        <f>D8*(1-D11)</f>
        <v/>
      </c>
      <c r="E9" s="513">
        <f>E8*(1-E11)</f>
        <v/>
      </c>
      <c r="F9" s="513">
        <f>F8*(1-F11)</f>
        <v/>
      </c>
      <c r="G9" s="513">
        <f>G8*(1-G11)</f>
        <v/>
      </c>
      <c r="H9" s="513">
        <f>H8*(1-H11)</f>
        <v/>
      </c>
      <c r="I9" s="513">
        <f>I8*(1-I11)</f>
        <v/>
      </c>
      <c r="J9" s="513">
        <f>J8*(1-J11)</f>
        <v/>
      </c>
      <c r="K9" s="513">
        <f>K8*(1-K11)</f>
        <v/>
      </c>
      <c r="L9" s="513">
        <f>L8*(1-L11)</f>
        <v/>
      </c>
      <c r="M9" s="513">
        <f>M8*(1-M11)</f>
        <v/>
      </c>
    </row>
    <row r="10">
      <c r="A10" s="130" t="inlineStr">
        <is>
          <t>Margen bruto</t>
        </is>
      </c>
      <c r="C10" s="532">
        <f>PyG!M10</f>
        <v/>
      </c>
      <c r="D10" s="533">
        <f>D8-D9</f>
        <v/>
      </c>
      <c r="E10" s="533">
        <f>E8-E9</f>
        <v/>
      </c>
      <c r="F10" s="533">
        <f>F8-F9</f>
        <v/>
      </c>
      <c r="G10" s="533">
        <f>G8-G9</f>
        <v/>
      </c>
      <c r="H10" s="533">
        <f>H8-H9</f>
        <v/>
      </c>
      <c r="I10" s="533">
        <f>I8-I9</f>
        <v/>
      </c>
      <c r="J10" s="533">
        <f>J8-J9</f>
        <v/>
      </c>
      <c r="K10" s="533">
        <f>K8-K9</f>
        <v/>
      </c>
      <c r="L10" s="533">
        <f>L8-L9</f>
        <v/>
      </c>
      <c r="M10" s="533">
        <f>M8-M9</f>
        <v/>
      </c>
    </row>
    <row r="11">
      <c r="A11" s="111" t="inlineStr">
        <is>
          <t>Margen bruto %</t>
        </is>
      </c>
      <c r="C11" s="498">
        <f>C10/C8</f>
        <v/>
      </c>
      <c r="D11" s="500">
        <f>$C$11+(Escenarios!$D$74-$C$11)*MIN(D$5/Escenarios!$B$11,1)</f>
        <v/>
      </c>
      <c r="E11" s="500">
        <f>$C$11+(Escenarios!$D$74-$C$11)*MIN(E$5/Escenarios!$B$11,1)</f>
        <v/>
      </c>
      <c r="F11" s="500">
        <f>$C$11+(Escenarios!$D$74-$C$11)*MIN(F$5/Escenarios!$B$11,1)</f>
        <v/>
      </c>
      <c r="G11" s="500">
        <f>$C$11+(Escenarios!$D$74-$C$11)*MIN(G$5/Escenarios!$B$11,1)</f>
        <v/>
      </c>
      <c r="H11" s="500">
        <f>$C$11+(Escenarios!$D$74-$C$11)*MIN(H$5/Escenarios!$B$11,1)</f>
        <v/>
      </c>
      <c r="I11" s="500">
        <f>$C$11+(Escenarios!$D$74-$C$11)*MIN(I$5/Escenarios!$B$11,1)</f>
        <v/>
      </c>
      <c r="J11" s="500">
        <f>$C$11+(Escenarios!$D$74-$C$11)*MIN(J$5/Escenarios!$B$11,1)</f>
        <v/>
      </c>
      <c r="K11" s="500">
        <f>$C$11+(Escenarios!$D$74-$C$11)*MIN(K$5/Escenarios!$B$11,1)</f>
        <v/>
      </c>
      <c r="L11" s="500">
        <f>$C$11+(Escenarios!$D$74-$C$11)*MIN(L$5/Escenarios!$B$11,1)</f>
        <v/>
      </c>
      <c r="M11" s="500">
        <f>$C$11+(Escenarios!$D$74-$C$11)*MIN(M$5/Escenarios!$B$11,1)</f>
        <v/>
      </c>
    </row>
    <row r="12">
      <c r="A12" s="111" t="inlineStr">
        <is>
          <t>Gastos operativos</t>
        </is>
      </c>
      <c r="C12" s="497">
        <f>PyG!M14</f>
        <v/>
      </c>
      <c r="D12" s="513">
        <f>D10-D15</f>
        <v/>
      </c>
      <c r="E12" s="513">
        <f>E10-E15</f>
        <v/>
      </c>
      <c r="F12" s="513">
        <f>F10-F15</f>
        <v/>
      </c>
      <c r="G12" s="513">
        <f>G10-G15</f>
        <v/>
      </c>
      <c r="H12" s="513">
        <f>H10-H15</f>
        <v/>
      </c>
      <c r="I12" s="513">
        <f>I10-I15</f>
        <v/>
      </c>
      <c r="J12" s="513">
        <f>J10-J15</f>
        <v/>
      </c>
      <c r="K12" s="513">
        <f>K10-K15</f>
        <v/>
      </c>
      <c r="L12" s="513">
        <f>L10-L15</f>
        <v/>
      </c>
      <c r="M12" s="513">
        <f>M10-M15</f>
        <v/>
      </c>
    </row>
    <row r="13">
      <c r="A13" s="111" t="inlineStr">
        <is>
          <t xml:space="preserve">   de los cuales I+D</t>
        </is>
      </c>
      <c r="C13" s="497">
        <f>PyG!M11</f>
        <v/>
      </c>
      <c r="D13" s="497">
        <f>D12*Escenarios!$B$50</f>
        <v/>
      </c>
      <c r="E13" s="497">
        <f>E12*Escenarios!$B$50</f>
        <v/>
      </c>
      <c r="F13" s="497">
        <f>F12*Escenarios!$B$50</f>
        <v/>
      </c>
      <c r="G13" s="497">
        <f>G12*Escenarios!$B$50</f>
        <v/>
      </c>
      <c r="H13" s="497">
        <f>H12*Escenarios!$B$50</f>
        <v/>
      </c>
      <c r="I13" s="497">
        <f>I12*Escenarios!$B$50</f>
        <v/>
      </c>
      <c r="J13" s="497">
        <f>J12*Escenarios!$B$50</f>
        <v/>
      </c>
      <c r="K13" s="497">
        <f>K12*Escenarios!$B$50</f>
        <v/>
      </c>
      <c r="L13" s="497">
        <f>L12*Escenarios!$B$50</f>
        <v/>
      </c>
      <c r="M13" s="497">
        <f>M12*Escenarios!$B$50</f>
        <v/>
      </c>
    </row>
    <row r="14">
      <c r="A14" s="111" t="inlineStr">
        <is>
          <t xml:space="preserve">   de los cuales comerciales, generales y otros</t>
        </is>
      </c>
      <c r="C14" s="497">
        <f>PyG!M14-PyG!M11</f>
        <v/>
      </c>
      <c r="D14" s="513">
        <f>D12-D13</f>
        <v/>
      </c>
      <c r="E14" s="513">
        <f>E12-E13</f>
        <v/>
      </c>
      <c r="F14" s="513">
        <f>F12-F13</f>
        <v/>
      </c>
      <c r="G14" s="513">
        <f>G12-G13</f>
        <v/>
      </c>
      <c r="H14" s="513">
        <f>H12-H13</f>
        <v/>
      </c>
      <c r="I14" s="513">
        <f>I12-I13</f>
        <v/>
      </c>
      <c r="J14" s="513">
        <f>J12-J13</f>
        <v/>
      </c>
      <c r="K14" s="513">
        <f>K12-K13</f>
        <v/>
      </c>
      <c r="L14" s="513">
        <f>L12-L13</f>
        <v/>
      </c>
      <c r="M14" s="513">
        <f>M12-M13</f>
        <v/>
      </c>
    </row>
    <row r="15">
      <c r="A15" s="130" t="inlineStr">
        <is>
          <t>Resultado operativo (EBIT)</t>
        </is>
      </c>
      <c r="C15" s="532">
        <f>PyG!M15</f>
        <v/>
      </c>
      <c r="D15" s="533">
        <f>D8*D16</f>
        <v/>
      </c>
      <c r="E15" s="533">
        <f>E8*E16</f>
        <v/>
      </c>
      <c r="F15" s="533">
        <f>F8*F16</f>
        <v/>
      </c>
      <c r="G15" s="533">
        <f>G8*G16</f>
        <v/>
      </c>
      <c r="H15" s="533">
        <f>H8*H16</f>
        <v/>
      </c>
      <c r="I15" s="533">
        <f>I8*I16</f>
        <v/>
      </c>
      <c r="J15" s="533">
        <f>J8*J16</f>
        <v/>
      </c>
      <c r="K15" s="533">
        <f>K8*K16</f>
        <v/>
      </c>
      <c r="L15" s="533">
        <f>L8*L16</f>
        <v/>
      </c>
      <c r="M15" s="533">
        <f>M8*M16</f>
        <v/>
      </c>
    </row>
    <row r="16">
      <c r="A16" s="111" t="inlineStr">
        <is>
          <t>Margen operativo %</t>
        </is>
      </c>
      <c r="C16" s="498">
        <f>C15/C8</f>
        <v/>
      </c>
      <c r="D16" s="500">
        <f>$C$16+(Escenarios!$D$75-$C$16)*MIN(D$5/Escenarios!$B$11,1)</f>
        <v/>
      </c>
      <c r="E16" s="500">
        <f>$C$16+(Escenarios!$D$75-$C$16)*MIN(E$5/Escenarios!$B$11,1)</f>
        <v/>
      </c>
      <c r="F16" s="500">
        <f>$C$16+(Escenarios!$D$75-$C$16)*MIN(F$5/Escenarios!$B$11,1)</f>
        <v/>
      </c>
      <c r="G16" s="500">
        <f>$C$16+(Escenarios!$D$75-$C$16)*MIN(G$5/Escenarios!$B$11,1)</f>
        <v/>
      </c>
      <c r="H16" s="500">
        <f>$C$16+(Escenarios!$D$75-$C$16)*MIN(H$5/Escenarios!$B$11,1)</f>
        <v/>
      </c>
      <c r="I16" s="500">
        <f>$C$16+(Escenarios!$D$75-$C$16)*MIN(I$5/Escenarios!$B$11,1)</f>
        <v/>
      </c>
      <c r="J16" s="500">
        <f>$C$16+(Escenarios!$D$75-$C$16)*MIN(J$5/Escenarios!$B$11,1)</f>
        <v/>
      </c>
      <c r="K16" s="500">
        <f>$C$16+(Escenarios!$D$75-$C$16)*MIN(K$5/Escenarios!$B$11,1)</f>
        <v/>
      </c>
      <c r="L16" s="500">
        <f>$C$16+(Escenarios!$D$75-$C$16)*MIN(L$5/Escenarios!$B$11,1)</f>
        <v/>
      </c>
      <c r="M16" s="500">
        <f>$C$16+(Escenarios!$D$75-$C$16)*MIN(M$5/Escenarios!$B$11,1)</f>
        <v/>
      </c>
    </row>
    <row r="17">
      <c r="A17" s="111" t="inlineStr">
        <is>
          <t>Amortizaciones</t>
        </is>
      </c>
      <c r="C17" s="497">
        <f>'Cash Flow'!M7</f>
        <v/>
      </c>
      <c r="D17" s="497">
        <f>D8*Escenarios!$B$47</f>
        <v/>
      </c>
      <c r="E17" s="497">
        <f>E8*Escenarios!$B$47</f>
        <v/>
      </c>
      <c r="F17" s="497">
        <f>F8*Escenarios!$B$47</f>
        <v/>
      </c>
      <c r="G17" s="497">
        <f>G8*Escenarios!$B$47</f>
        <v/>
      </c>
      <c r="H17" s="497">
        <f>H8*Escenarios!$B$47</f>
        <v/>
      </c>
      <c r="I17" s="497">
        <f>I8*Escenarios!$B$47</f>
        <v/>
      </c>
      <c r="J17" s="497">
        <f>J8*Escenarios!$B$47</f>
        <v/>
      </c>
      <c r="K17" s="497">
        <f>K8*Escenarios!$B$47</f>
        <v/>
      </c>
      <c r="L17" s="497">
        <f>L8*Escenarios!$B$47</f>
        <v/>
      </c>
      <c r="M17" s="497">
        <f>M8*Escenarios!$B$47</f>
        <v/>
      </c>
    </row>
    <row r="18">
      <c r="A18" s="119" t="inlineStr">
        <is>
          <t>EBITDA</t>
        </is>
      </c>
      <c r="B18" s="147" t="n"/>
      <c r="C18" s="534">
        <f>C15+C17</f>
        <v/>
      </c>
      <c r="D18" s="534">
        <f>D15+D17</f>
        <v/>
      </c>
      <c r="E18" s="534">
        <f>E15+E17</f>
        <v/>
      </c>
      <c r="F18" s="534">
        <f>F15+F17</f>
        <v/>
      </c>
      <c r="G18" s="534">
        <f>G15+G17</f>
        <v/>
      </c>
      <c r="H18" s="534">
        <f>H15+H17</f>
        <v/>
      </c>
      <c r="I18" s="534">
        <f>I15+I17</f>
        <v/>
      </c>
      <c r="J18" s="534">
        <f>J15+J17</f>
        <v/>
      </c>
      <c r="K18" s="534">
        <f>K15+K17</f>
        <v/>
      </c>
      <c r="L18" s="534">
        <f>L15+L17</f>
        <v/>
      </c>
      <c r="M18" s="534">
        <f>M15+M17</f>
        <v/>
      </c>
    </row>
    <row r="19">
      <c r="A19" s="111" t="inlineStr">
        <is>
          <t>Resultado no operativo</t>
        </is>
      </c>
      <c r="C19" s="497">
        <f>PyG!M16</f>
        <v/>
      </c>
      <c r="D19" s="497">
        <f>D8*Escenarios!$B$46</f>
        <v/>
      </c>
      <c r="E19" s="497">
        <f>E8*Escenarios!$B$46</f>
        <v/>
      </c>
      <c r="F19" s="497">
        <f>F8*Escenarios!$B$46</f>
        <v/>
      </c>
      <c r="G19" s="497">
        <f>G8*Escenarios!$B$46</f>
        <v/>
      </c>
      <c r="H19" s="497">
        <f>H8*Escenarios!$B$46</f>
        <v/>
      </c>
      <c r="I19" s="497">
        <f>I8*Escenarios!$B$46</f>
        <v/>
      </c>
      <c r="J19" s="497">
        <f>J8*Escenarios!$B$46</f>
        <v/>
      </c>
      <c r="K19" s="497">
        <f>K8*Escenarios!$B$46</f>
        <v/>
      </c>
      <c r="L19" s="497">
        <f>L8*Escenarios!$B$46</f>
        <v/>
      </c>
      <c r="M19" s="497">
        <f>M8*Escenarios!$B$46</f>
        <v/>
      </c>
    </row>
    <row r="20">
      <c r="A20" s="111" t="inlineStr">
        <is>
          <t>Beneficio antes de impuestos</t>
        </is>
      </c>
      <c r="C20" s="497">
        <f>PyG!M17</f>
        <v/>
      </c>
      <c r="D20" s="513">
        <f>D15+D19</f>
        <v/>
      </c>
      <c r="E20" s="513">
        <f>E15+E19</f>
        <v/>
      </c>
      <c r="F20" s="513">
        <f>F15+F19</f>
        <v/>
      </c>
      <c r="G20" s="513">
        <f>G15+G19</f>
        <v/>
      </c>
      <c r="H20" s="513">
        <f>H15+H19</f>
        <v/>
      </c>
      <c r="I20" s="513">
        <f>I15+I19</f>
        <v/>
      </c>
      <c r="J20" s="513">
        <f>J15+J19</f>
        <v/>
      </c>
      <c r="K20" s="513">
        <f>K15+K19</f>
        <v/>
      </c>
      <c r="L20" s="513">
        <f>L15+L19</f>
        <v/>
      </c>
      <c r="M20" s="513">
        <f>M15+M19</f>
        <v/>
      </c>
    </row>
    <row r="21">
      <c r="A21" s="111" t="inlineStr">
        <is>
          <t>Impuestos</t>
        </is>
      </c>
      <c r="C21" s="497">
        <f>PyG!M18</f>
        <v/>
      </c>
      <c r="D21" s="497">
        <f>MAX(D20,0)*Escenarios!$B$45</f>
        <v/>
      </c>
      <c r="E21" s="497">
        <f>MAX(E20,0)*Escenarios!$B$45</f>
        <v/>
      </c>
      <c r="F21" s="497">
        <f>MAX(F20,0)*Escenarios!$B$45</f>
        <v/>
      </c>
      <c r="G21" s="497">
        <f>MAX(G20,0)*Escenarios!$B$45</f>
        <v/>
      </c>
      <c r="H21" s="497">
        <f>MAX(H20,0)*Escenarios!$B$45</f>
        <v/>
      </c>
      <c r="I21" s="497">
        <f>MAX(I20,0)*Escenarios!$B$45</f>
        <v/>
      </c>
      <c r="J21" s="497">
        <f>MAX(J20,0)*Escenarios!$B$45</f>
        <v/>
      </c>
      <c r="K21" s="497">
        <f>MAX(K20,0)*Escenarios!$B$45</f>
        <v/>
      </c>
      <c r="L21" s="497">
        <f>MAX(L20,0)*Escenarios!$B$45</f>
        <v/>
      </c>
      <c r="M21" s="497">
        <f>MAX(M20,0)*Escenarios!$B$45</f>
        <v/>
      </c>
    </row>
    <row r="22">
      <c r="A22" s="244" t="inlineStr">
        <is>
          <t>Beneficio neto</t>
        </is>
      </c>
      <c r="B22" s="245" t="n"/>
      <c r="C22" s="539">
        <f>PyG!M23</f>
        <v/>
      </c>
      <c r="D22" s="540">
        <f>D20-D21</f>
        <v/>
      </c>
      <c r="E22" s="540">
        <f>E20-E21</f>
        <v/>
      </c>
      <c r="F22" s="540">
        <f>F20-F21</f>
        <v/>
      </c>
      <c r="G22" s="540">
        <f>G20-G21</f>
        <v/>
      </c>
      <c r="H22" s="540">
        <f>H20-H21</f>
        <v/>
      </c>
      <c r="I22" s="540">
        <f>I20-I21</f>
        <v/>
      </c>
      <c r="J22" s="540">
        <f>J20-J21</f>
        <v/>
      </c>
      <c r="K22" s="540">
        <f>K20-K21</f>
        <v/>
      </c>
      <c r="L22" s="540">
        <f>L20-L21</f>
        <v/>
      </c>
      <c r="M22" s="540">
        <f>M20-M21</f>
        <v/>
      </c>
    </row>
    <row r="23">
      <c r="A23" s="111" t="inlineStr">
        <is>
          <t>Margen neto %</t>
        </is>
      </c>
      <c r="C23" s="498">
        <f>C22/C8</f>
        <v/>
      </c>
      <c r="D23" s="498">
        <f>D22/D8</f>
        <v/>
      </c>
      <c r="E23" s="498">
        <f>E22/E8</f>
        <v/>
      </c>
      <c r="F23" s="498">
        <f>F22/F8</f>
        <v/>
      </c>
      <c r="G23" s="498">
        <f>G22/G8</f>
        <v/>
      </c>
      <c r="H23" s="498">
        <f>H22/H8</f>
        <v/>
      </c>
      <c r="I23" s="498">
        <f>I22/I8</f>
        <v/>
      </c>
      <c r="J23" s="498">
        <f>J22/J8</f>
        <v/>
      </c>
      <c r="K23" s="498">
        <f>K22/K8</f>
        <v/>
      </c>
      <c r="L23" s="498">
        <f>L22/L8</f>
        <v/>
      </c>
      <c r="M23" s="498">
        <f>M22/M8</f>
        <v/>
      </c>
    </row>
    <row r="24">
      <c r="A24" s="111" t="inlineStr">
        <is>
          <t>Acciones diluidas (M)</t>
        </is>
      </c>
      <c r="C24" s="535">
        <f>PyG!M27</f>
        <v/>
      </c>
      <c r="D24" s="536">
        <f>IF(D38&gt;0,C24+(D32+D39)/D38,C24)</f>
        <v/>
      </c>
      <c r="E24" s="536">
        <f>IF(E38&gt;0,D24+(E32+E39)/E38,D24)</f>
        <v/>
      </c>
      <c r="F24" s="536">
        <f>IF(F38&gt;0,E24+(F32+F39)/F38,E24)</f>
        <v/>
      </c>
      <c r="G24" s="536">
        <f>IF(G38&gt;0,F24+(G32+G39)/G38,F24)</f>
        <v/>
      </c>
      <c r="H24" s="536">
        <f>IF(H38&gt;0,G24+(H32+H39)/H38,G24)</f>
        <v/>
      </c>
      <c r="I24" s="536">
        <f>IF(I38&gt;0,H24+(I32+I39)/I38,H24)</f>
        <v/>
      </c>
      <c r="J24" s="536">
        <f>IF(J38&gt;0,I24+(J32+J39)/J38,I24)</f>
        <v/>
      </c>
      <c r="K24" s="536">
        <f>IF(K38&gt;0,J24+(K32+K39)/K38,J24)</f>
        <v/>
      </c>
      <c r="L24" s="536">
        <f>IF(L38&gt;0,K24+(L32+L39)/L38,K24)</f>
        <v/>
      </c>
      <c r="M24" s="536">
        <f>IF(M38&gt;0,L24+(M32+M39)/M38,L24)</f>
        <v/>
      </c>
    </row>
    <row r="25">
      <c r="A25" s="130" t="inlineStr">
        <is>
          <t>BPA diluido</t>
        </is>
      </c>
      <c r="C25" s="537">
        <f>PyG!M29</f>
        <v/>
      </c>
      <c r="D25" s="506">
        <f>D22/D24</f>
        <v/>
      </c>
      <c r="E25" s="506">
        <f>E22/E24</f>
        <v/>
      </c>
      <c r="F25" s="506">
        <f>F22/F24</f>
        <v/>
      </c>
      <c r="G25" s="506">
        <f>G22/G24</f>
        <v/>
      </c>
      <c r="H25" s="506">
        <f>H22/H24</f>
        <v/>
      </c>
      <c r="I25" s="506">
        <f>I22/I24</f>
        <v/>
      </c>
      <c r="J25" s="506">
        <f>J22/J24</f>
        <v/>
      </c>
      <c r="K25" s="506">
        <f>K22/K24</f>
        <v/>
      </c>
      <c r="L25" s="506">
        <f>L22/L24</f>
        <v/>
      </c>
      <c r="M25" s="506">
        <f>M22/M24</f>
        <v/>
      </c>
    </row>
    <row r="26">
      <c r="A26" s="111" t="inlineStr">
        <is>
          <t>Crecimiento del BPA</t>
        </is>
      </c>
      <c r="D26" s="498">
        <f>IF(C25&gt;0,D25/C25-1,0)</f>
        <v/>
      </c>
      <c r="E26" s="498">
        <f>IF(D25&gt;0,E25/D25-1,0)</f>
        <v/>
      </c>
      <c r="F26" s="498">
        <f>IF(E25&gt;0,F25/E25-1,0)</f>
        <v/>
      </c>
      <c r="G26" s="498">
        <f>IF(F25&gt;0,G25/F25-1,0)</f>
        <v/>
      </c>
      <c r="H26" s="498">
        <f>IF(G25&gt;0,H25/G25-1,0)</f>
        <v/>
      </c>
      <c r="I26" s="498">
        <f>IF(H25&gt;0,I25/H25-1,0)</f>
        <v/>
      </c>
      <c r="J26" s="498">
        <f>IF(I25&gt;0,J25/I25-1,0)</f>
        <v/>
      </c>
      <c r="K26" s="498">
        <f>IF(J25&gt;0,K25/J25-1,0)</f>
        <v/>
      </c>
      <c r="L26" s="498">
        <f>IF(K25&gt;0,L25/K25-1,0)</f>
        <v/>
      </c>
      <c r="M26" s="498">
        <f>IF(L25&gt;0,M25/L25-1,0)</f>
        <v/>
      </c>
    </row>
    <row r="27">
      <c r="A27" s="111" t="inlineStr">
        <is>
          <t>Dividendo por acción</t>
        </is>
      </c>
      <c r="C27" s="493">
        <f>ABS('Cash Flow'!M29)/C24</f>
        <v/>
      </c>
      <c r="D27" s="493">
        <f>MAX(D25,0)*Escenarios!$B$44</f>
        <v/>
      </c>
      <c r="E27" s="493">
        <f>MAX(E25,0)*Escenarios!$B$44</f>
        <v/>
      </c>
      <c r="F27" s="493">
        <f>MAX(F25,0)*Escenarios!$B$44</f>
        <v/>
      </c>
      <c r="G27" s="493">
        <f>MAX(G25,0)*Escenarios!$B$44</f>
        <v/>
      </c>
      <c r="H27" s="493">
        <f>MAX(H25,0)*Escenarios!$B$44</f>
        <v/>
      </c>
      <c r="I27" s="493">
        <f>MAX(I25,0)*Escenarios!$B$44</f>
        <v/>
      </c>
      <c r="J27" s="493">
        <f>MAX(J25,0)*Escenarios!$B$44</f>
        <v/>
      </c>
      <c r="K27" s="493">
        <f>MAX(K25,0)*Escenarios!$B$44</f>
        <v/>
      </c>
      <c r="L27" s="493">
        <f>MAX(L25,0)*Escenarios!$B$44</f>
        <v/>
      </c>
      <c r="M27" s="493">
        <f>MAX(M25,0)*Escenarios!$B$44</f>
        <v/>
      </c>
    </row>
    <row r="29">
      <c r="A29" s="119" t="inlineStr">
        <is>
          <t>FLUJO DE CAJA</t>
        </is>
      </c>
      <c r="B29" s="147" t="n"/>
      <c r="C29" s="147" t="n"/>
      <c r="D29" s="147" t="n"/>
      <c r="E29" s="147" t="n"/>
      <c r="F29" s="147" t="n"/>
      <c r="G29" s="147" t="n"/>
      <c r="H29" s="147" t="n"/>
      <c r="I29" s="147" t="n"/>
      <c r="J29" s="147" t="n"/>
      <c r="K29" s="147" t="n"/>
      <c r="L29" s="147" t="n"/>
      <c r="M29" s="147" t="n"/>
    </row>
    <row r="30">
      <c r="A30" s="111" t="inlineStr">
        <is>
          <t>Beneficio neto</t>
        </is>
      </c>
      <c r="C30" s="513">
        <f>C22</f>
        <v/>
      </c>
      <c r="D30" s="513">
        <f>D22</f>
        <v/>
      </c>
      <c r="E30" s="513">
        <f>E22</f>
        <v/>
      </c>
      <c r="F30" s="513">
        <f>F22</f>
        <v/>
      </c>
      <c r="G30" s="513">
        <f>G22</f>
        <v/>
      </c>
      <c r="H30" s="513">
        <f>H22</f>
        <v/>
      </c>
      <c r="I30" s="513">
        <f>I22</f>
        <v/>
      </c>
      <c r="J30" s="513">
        <f>J22</f>
        <v/>
      </c>
      <c r="K30" s="513">
        <f>K22</f>
        <v/>
      </c>
      <c r="L30" s="513">
        <f>L22</f>
        <v/>
      </c>
      <c r="M30" s="513">
        <f>M22</f>
        <v/>
      </c>
    </row>
    <row r="31">
      <c r="A31" s="111" t="inlineStr">
        <is>
          <t>Amortizaciones</t>
        </is>
      </c>
      <c r="C31" s="513">
        <f>C17</f>
        <v/>
      </c>
      <c r="D31" s="513">
        <f>D17</f>
        <v/>
      </c>
      <c r="E31" s="513">
        <f>E17</f>
        <v/>
      </c>
      <c r="F31" s="513">
        <f>F17</f>
        <v/>
      </c>
      <c r="G31" s="513">
        <f>G17</f>
        <v/>
      </c>
      <c r="H31" s="513">
        <f>H17</f>
        <v/>
      </c>
      <c r="I31" s="513">
        <f>I17</f>
        <v/>
      </c>
      <c r="J31" s="513">
        <f>J17</f>
        <v/>
      </c>
      <c r="K31" s="513">
        <f>K17</f>
        <v/>
      </c>
      <c r="L31" s="513">
        <f>L17</f>
        <v/>
      </c>
      <c r="M31" s="513">
        <f>M17</f>
        <v/>
      </c>
    </row>
    <row r="32">
      <c r="A32" s="111" t="inlineStr">
        <is>
          <t>Remuneración en acciones</t>
        </is>
      </c>
      <c r="C32" s="497">
        <f>'Cash Flow'!M33</f>
        <v/>
      </c>
      <c r="D32" s="497">
        <f>D8*Escenarios!$B$49</f>
        <v/>
      </c>
      <c r="E32" s="497">
        <f>E8*Escenarios!$B$49</f>
        <v/>
      </c>
      <c r="F32" s="497">
        <f>F8*Escenarios!$B$49</f>
        <v/>
      </c>
      <c r="G32" s="497">
        <f>G8*Escenarios!$B$49</f>
        <v/>
      </c>
      <c r="H32" s="497">
        <f>H8*Escenarios!$B$49</f>
        <v/>
      </c>
      <c r="I32" s="497">
        <f>I8*Escenarios!$B$49</f>
        <v/>
      </c>
      <c r="J32" s="497">
        <f>J8*Escenarios!$B$49</f>
        <v/>
      </c>
      <c r="K32" s="497">
        <f>K8*Escenarios!$B$49</f>
        <v/>
      </c>
      <c r="L32" s="497">
        <f>L8*Escenarios!$B$49</f>
        <v/>
      </c>
      <c r="M32" s="497">
        <f>M8*Escenarios!$B$49</f>
        <v/>
      </c>
    </row>
    <row r="33">
      <c r="A33" s="111" t="inlineStr">
        <is>
          <t>Variación del circulante</t>
        </is>
      </c>
      <c r="D33" s="513">
        <f>-(D46-C46)+(D50-C50)</f>
        <v/>
      </c>
      <c r="E33" s="513">
        <f>-(E46-D46)+(E50-D50)</f>
        <v/>
      </c>
      <c r="F33" s="513">
        <f>-(F46-E46)+(F50-E50)</f>
        <v/>
      </c>
      <c r="G33" s="513">
        <f>-(G46-F46)+(G50-F50)</f>
        <v/>
      </c>
      <c r="H33" s="513">
        <f>-(H46-G46)+(H50-G50)</f>
        <v/>
      </c>
      <c r="I33" s="513">
        <f>-(I46-H46)+(I50-H50)</f>
        <v/>
      </c>
      <c r="J33" s="513">
        <f>-(J46-I46)+(J50-I50)</f>
        <v/>
      </c>
      <c r="K33" s="513">
        <f>-(K46-J46)+(K50-J50)</f>
        <v/>
      </c>
      <c r="L33" s="513">
        <f>-(L46-K46)+(L50-K50)</f>
        <v/>
      </c>
      <c r="M33" s="513">
        <f>-(M46-L46)+(M50-L50)</f>
        <v/>
      </c>
    </row>
    <row r="34">
      <c r="A34" s="130" t="inlineStr">
        <is>
          <t>Flujo de caja operativo</t>
        </is>
      </c>
      <c r="C34" s="532">
        <f>'Cash Flow'!M15</f>
        <v/>
      </c>
      <c r="D34" s="533">
        <f>SUM(D30:D33)</f>
        <v/>
      </c>
      <c r="E34" s="533">
        <f>SUM(E30:E33)</f>
        <v/>
      </c>
      <c r="F34" s="533">
        <f>SUM(F30:F33)</f>
        <v/>
      </c>
      <c r="G34" s="533">
        <f>SUM(G30:G33)</f>
        <v/>
      </c>
      <c r="H34" s="533">
        <f>SUM(H30:H33)</f>
        <v/>
      </c>
      <c r="I34" s="533">
        <f>SUM(I30:I33)</f>
        <v/>
      </c>
      <c r="J34" s="533">
        <f>SUM(J30:J33)</f>
        <v/>
      </c>
      <c r="K34" s="533">
        <f>SUM(K30:K33)</f>
        <v/>
      </c>
      <c r="L34" s="533">
        <f>SUM(L30:L33)</f>
        <v/>
      </c>
      <c r="M34" s="533">
        <f>SUM(M30:M33)</f>
        <v/>
      </c>
    </row>
    <row r="35">
      <c r="A35" s="111" t="inlineStr">
        <is>
          <t>Capex</t>
        </is>
      </c>
      <c r="C35" s="497">
        <f>'Cash Flow'!M16</f>
        <v/>
      </c>
      <c r="D35" s="497">
        <f>-D8*Escenarios!$B$48</f>
        <v/>
      </c>
      <c r="E35" s="497">
        <f>-E8*Escenarios!$B$48</f>
        <v/>
      </c>
      <c r="F35" s="497">
        <f>-F8*Escenarios!$B$48</f>
        <v/>
      </c>
      <c r="G35" s="497">
        <f>-G8*Escenarios!$B$48</f>
        <v/>
      </c>
      <c r="H35" s="497">
        <f>-H8*Escenarios!$B$48</f>
        <v/>
      </c>
      <c r="I35" s="497">
        <f>-I8*Escenarios!$B$48</f>
        <v/>
      </c>
      <c r="J35" s="497">
        <f>-J8*Escenarios!$B$48</f>
        <v/>
      </c>
      <c r="K35" s="497">
        <f>-K8*Escenarios!$B$48</f>
        <v/>
      </c>
      <c r="L35" s="497">
        <f>-L8*Escenarios!$B$48</f>
        <v/>
      </c>
      <c r="M35" s="497">
        <f>-M8*Escenarios!$B$48</f>
        <v/>
      </c>
    </row>
    <row r="36">
      <c r="A36" s="130" t="inlineStr">
        <is>
          <t>Flujo de caja libre</t>
        </is>
      </c>
      <c r="C36" s="533">
        <f>C34+C35</f>
        <v/>
      </c>
      <c r="D36" s="533">
        <f>D34+D35</f>
        <v/>
      </c>
      <c r="E36" s="533">
        <f>E34+E35</f>
        <v/>
      </c>
      <c r="F36" s="533">
        <f>F34+F35</f>
        <v/>
      </c>
      <c r="G36" s="533">
        <f>G34+G35</f>
        <v/>
      </c>
      <c r="H36" s="533">
        <f>H34+H35</f>
        <v/>
      </c>
      <c r="I36" s="533">
        <f>I34+I35</f>
        <v/>
      </c>
      <c r="J36" s="533">
        <f>J34+J35</f>
        <v/>
      </c>
      <c r="K36" s="533">
        <f>K34+K35</f>
        <v/>
      </c>
      <c r="L36" s="533">
        <f>L34+L35</f>
        <v/>
      </c>
      <c r="M36" s="533">
        <f>M34+M35</f>
        <v/>
      </c>
    </row>
    <row r="37">
      <c r="A37" s="111" t="inlineStr">
        <is>
          <t>PER supuesto para las recompras</t>
        </is>
      </c>
      <c r="D37" s="499">
        <f>Escenarios!$B$13+(Escenarios!$D$77-Escenarios!$B$13)*(D$5-1)/9</f>
        <v/>
      </c>
      <c r="E37" s="499">
        <f>Escenarios!$B$13+(Escenarios!$D$77-Escenarios!$B$13)*(E$5-1)/9</f>
        <v/>
      </c>
      <c r="F37" s="499">
        <f>Escenarios!$B$13+(Escenarios!$D$77-Escenarios!$B$13)*(F$5-1)/9</f>
        <v/>
      </c>
      <c r="G37" s="499">
        <f>Escenarios!$B$13+(Escenarios!$D$77-Escenarios!$B$13)*(G$5-1)/9</f>
        <v/>
      </c>
      <c r="H37" s="499">
        <f>Escenarios!$B$13+(Escenarios!$D$77-Escenarios!$B$13)*(H$5-1)/9</f>
        <v/>
      </c>
      <c r="I37" s="499">
        <f>Escenarios!$B$13+(Escenarios!$D$77-Escenarios!$B$13)*(I$5-1)/9</f>
        <v/>
      </c>
      <c r="J37" s="499">
        <f>Escenarios!$B$13+(Escenarios!$D$77-Escenarios!$B$13)*(J$5-1)/9</f>
        <v/>
      </c>
      <c r="K37" s="499">
        <f>Escenarios!$B$13+(Escenarios!$D$77-Escenarios!$B$13)*(K$5-1)/9</f>
        <v/>
      </c>
      <c r="L37" s="499">
        <f>Escenarios!$B$13+(Escenarios!$D$77-Escenarios!$B$13)*(L$5-1)/9</f>
        <v/>
      </c>
      <c r="M37" s="499">
        <f>Escenarios!$B$13+(Escenarios!$D$77-Escenarios!$B$13)*(M$5-1)/9</f>
        <v/>
      </c>
    </row>
    <row r="38">
      <c r="A38" s="111" t="inlineStr">
        <is>
          <t>Precio supuesto para las recompras</t>
        </is>
      </c>
      <c r="D38" s="505">
        <f>MAX(C25,0)*D37</f>
        <v/>
      </c>
      <c r="E38" s="505">
        <f>MAX(D25,0)*E37</f>
        <v/>
      </c>
      <c r="F38" s="505">
        <f>MAX(E25,0)*F37</f>
        <v/>
      </c>
      <c r="G38" s="505">
        <f>MAX(F25,0)*G37</f>
        <v/>
      </c>
      <c r="H38" s="505">
        <f>MAX(G25,0)*H37</f>
        <v/>
      </c>
      <c r="I38" s="505">
        <f>MAX(H25,0)*I37</f>
        <v/>
      </c>
      <c r="J38" s="505">
        <f>MAX(I25,0)*J37</f>
        <v/>
      </c>
      <c r="K38" s="505">
        <f>MAX(J25,0)*K37</f>
        <v/>
      </c>
      <c r="L38" s="505">
        <f>MAX(K25,0)*L37</f>
        <v/>
      </c>
      <c r="M38" s="505">
        <f>MAX(L25,0)*M37</f>
        <v/>
      </c>
    </row>
    <row r="39">
      <c r="A39" s="111" t="inlineStr">
        <is>
          <t>Recompra de acciones</t>
        </is>
      </c>
      <c r="C39" s="497">
        <f>'Cash Flow'!M27</f>
        <v/>
      </c>
      <c r="D39" s="497">
        <f>-Escenarios!$D$76*MAX(D36-D22*Escenarios!$B$44,0)</f>
        <v/>
      </c>
      <c r="E39" s="497">
        <f>-Escenarios!$D$76*MAX(E36-E22*Escenarios!$B$44,0)</f>
        <v/>
      </c>
      <c r="F39" s="497">
        <f>-Escenarios!$D$76*MAX(F36-F22*Escenarios!$B$44,0)</f>
        <v/>
      </c>
      <c r="G39" s="497">
        <f>-Escenarios!$D$76*MAX(G36-G22*Escenarios!$B$44,0)</f>
        <v/>
      </c>
      <c r="H39" s="497">
        <f>-Escenarios!$D$76*MAX(H36-H22*Escenarios!$B$44,0)</f>
        <v/>
      </c>
      <c r="I39" s="497">
        <f>-Escenarios!$D$76*MAX(I36-I22*Escenarios!$B$44,0)</f>
        <v/>
      </c>
      <c r="J39" s="497">
        <f>-Escenarios!$D$76*MAX(J36-J22*Escenarios!$B$44,0)</f>
        <v/>
      </c>
      <c r="K39" s="497">
        <f>-Escenarios!$D$76*MAX(K36-K22*Escenarios!$B$44,0)</f>
        <v/>
      </c>
      <c r="L39" s="497">
        <f>-Escenarios!$D$76*MAX(L36-L22*Escenarios!$B$44,0)</f>
        <v/>
      </c>
      <c r="M39" s="497">
        <f>-Escenarios!$D$76*MAX(M36-M22*Escenarios!$B$44,0)</f>
        <v/>
      </c>
    </row>
    <row r="40">
      <c r="A40" s="111" t="inlineStr">
        <is>
          <t>Dividendos pagados</t>
        </is>
      </c>
      <c r="C40" s="497">
        <f>-ABS('Cash Flow'!M29)</f>
        <v/>
      </c>
      <c r="D40" s="497">
        <f>-D22*Escenarios!$B$44*(D22&gt;0)</f>
        <v/>
      </c>
      <c r="E40" s="497">
        <f>-E22*Escenarios!$B$44*(E22&gt;0)</f>
        <v/>
      </c>
      <c r="F40" s="497">
        <f>-F22*Escenarios!$B$44*(F22&gt;0)</f>
        <v/>
      </c>
      <c r="G40" s="497">
        <f>-G22*Escenarios!$B$44*(G22&gt;0)</f>
        <v/>
      </c>
      <c r="H40" s="497">
        <f>-H22*Escenarios!$B$44*(H22&gt;0)</f>
        <v/>
      </c>
      <c r="I40" s="497">
        <f>-I22*Escenarios!$B$44*(I22&gt;0)</f>
        <v/>
      </c>
      <c r="J40" s="497">
        <f>-J22*Escenarios!$B$44*(J22&gt;0)</f>
        <v/>
      </c>
      <c r="K40" s="497">
        <f>-K22*Escenarios!$B$44*(K22&gt;0)</f>
        <v/>
      </c>
      <c r="L40" s="497">
        <f>-L22*Escenarios!$B$44*(L22&gt;0)</f>
        <v/>
      </c>
      <c r="M40" s="497">
        <f>-M22*Escenarios!$B$44*(M22&gt;0)</f>
        <v/>
      </c>
    </row>
    <row r="41">
      <c r="A41" s="111" t="inlineStr">
        <is>
          <t>Variación de deuda</t>
        </is>
      </c>
      <c r="D41" s="513">
        <f>0</f>
        <v/>
      </c>
      <c r="E41" s="513">
        <f>0</f>
        <v/>
      </c>
      <c r="F41" s="513">
        <f>0</f>
        <v/>
      </c>
      <c r="G41" s="513">
        <f>0</f>
        <v/>
      </c>
      <c r="H41" s="513">
        <f>0</f>
        <v/>
      </c>
      <c r="I41" s="513">
        <f>0</f>
        <v/>
      </c>
      <c r="J41" s="513">
        <f>0</f>
        <v/>
      </c>
      <c r="K41" s="513">
        <f>0</f>
        <v/>
      </c>
      <c r="L41" s="513">
        <f>0</f>
        <v/>
      </c>
      <c r="M41" s="513">
        <f>0</f>
        <v/>
      </c>
    </row>
    <row r="42">
      <c r="A42" s="130" t="inlineStr">
        <is>
          <t>Variación de caja</t>
        </is>
      </c>
      <c r="C42" s="154" t="n"/>
      <c r="D42" s="533">
        <f>D36+D39+D40+D41</f>
        <v/>
      </c>
      <c r="E42" s="533">
        <f>E36+E39+E40+E41</f>
        <v/>
      </c>
      <c r="F42" s="533">
        <f>F36+F39+F40+F41</f>
        <v/>
      </c>
      <c r="G42" s="533">
        <f>G36+G39+G40+G41</f>
        <v/>
      </c>
      <c r="H42" s="533">
        <f>H36+H39+H40+H41</f>
        <v/>
      </c>
      <c r="I42" s="533">
        <f>I36+I39+I40+I41</f>
        <v/>
      </c>
      <c r="J42" s="533">
        <f>J36+J39+J40+J41</f>
        <v/>
      </c>
      <c r="K42" s="533">
        <f>K36+K39+K40+K41</f>
        <v/>
      </c>
      <c r="L42" s="533">
        <f>L36+L39+L40+L41</f>
        <v/>
      </c>
      <c r="M42" s="533">
        <f>M36+M39+M40+M41</f>
        <v/>
      </c>
    </row>
    <row r="44">
      <c r="A44" s="119" t="inlineStr">
        <is>
          <t>BALANCE</t>
        </is>
      </c>
      <c r="B44" s="147" t="n"/>
      <c r="C44" s="147" t="n"/>
      <c r="D44" s="147" t="n"/>
      <c r="E44" s="147" t="n"/>
      <c r="F44" s="147" t="n"/>
      <c r="G44" s="147" t="n"/>
      <c r="H44" s="147" t="n"/>
      <c r="I44" s="147" t="n"/>
      <c r="J44" s="147" t="n"/>
      <c r="K44" s="147" t="n"/>
      <c r="L44" s="147" t="n"/>
      <c r="M44" s="147" t="n"/>
    </row>
    <row r="45">
      <c r="A45" s="111" t="inlineStr">
        <is>
          <t>Caja e inversiones a corto</t>
        </is>
      </c>
      <c r="C45" s="497">
        <f>Balance!M5</f>
        <v/>
      </c>
      <c r="D45" s="513">
        <f>C45+D42</f>
        <v/>
      </c>
      <c r="E45" s="513">
        <f>D45+E42</f>
        <v/>
      </c>
      <c r="F45" s="513">
        <f>E45+F42</f>
        <v/>
      </c>
      <c r="G45" s="513">
        <f>F45+G42</f>
        <v/>
      </c>
      <c r="H45" s="513">
        <f>G45+H42</f>
        <v/>
      </c>
      <c r="I45" s="513">
        <f>H45+I42</f>
        <v/>
      </c>
      <c r="J45" s="513">
        <f>I45+J42</f>
        <v/>
      </c>
      <c r="K45" s="513">
        <f>J45+K42</f>
        <v/>
      </c>
      <c r="L45" s="513">
        <f>K45+L42</f>
        <v/>
      </c>
      <c r="M45" s="513">
        <f>L45+M42</f>
        <v/>
      </c>
    </row>
    <row r="46">
      <c r="A46" s="111" t="inlineStr">
        <is>
          <t>Activo circulante operativo</t>
        </is>
      </c>
      <c r="C46" s="497">
        <f>Balance!M6+Balance!M7+Balance!M8+Balance!M9</f>
        <v/>
      </c>
      <c r="D46" s="497">
        <f>D8*Escenarios!$B$51</f>
        <v/>
      </c>
      <c r="E46" s="497">
        <f>E8*Escenarios!$B$51</f>
        <v/>
      </c>
      <c r="F46" s="497">
        <f>F8*Escenarios!$B$51</f>
        <v/>
      </c>
      <c r="G46" s="497">
        <f>G8*Escenarios!$B$51</f>
        <v/>
      </c>
      <c r="H46" s="497">
        <f>H8*Escenarios!$B$51</f>
        <v/>
      </c>
      <c r="I46" s="497">
        <f>I8*Escenarios!$B$51</f>
        <v/>
      </c>
      <c r="J46" s="497">
        <f>J8*Escenarios!$B$51</f>
        <v/>
      </c>
      <c r="K46" s="497">
        <f>K8*Escenarios!$B$51</f>
        <v/>
      </c>
      <c r="L46" s="497">
        <f>L8*Escenarios!$B$51</f>
        <v/>
      </c>
      <c r="M46" s="497">
        <f>M8*Escenarios!$B$51</f>
        <v/>
      </c>
    </row>
    <row r="47">
      <c r="A47" s="111" t="inlineStr">
        <is>
          <t>Activo no corriente</t>
        </is>
      </c>
      <c r="C47" s="497">
        <f>Balance!M15</f>
        <v/>
      </c>
      <c r="D47" s="513">
        <f>C47-D35-D17</f>
        <v/>
      </c>
      <c r="E47" s="513">
        <f>D47-E35-E17</f>
        <v/>
      </c>
      <c r="F47" s="513">
        <f>E47-F35-F17</f>
        <v/>
      </c>
      <c r="G47" s="513">
        <f>F47-G35-G17</f>
        <v/>
      </c>
      <c r="H47" s="513">
        <f>G47-H35-H17</f>
        <v/>
      </c>
      <c r="I47" s="513">
        <f>H47-I35-I17</f>
        <v/>
      </c>
      <c r="J47" s="513">
        <f>I47-J35-J17</f>
        <v/>
      </c>
      <c r="K47" s="513">
        <f>J47-K35-K17</f>
        <v/>
      </c>
      <c r="L47" s="513">
        <f>K47-L35-L17</f>
        <v/>
      </c>
      <c r="M47" s="513">
        <f>L47-M35-M17</f>
        <v/>
      </c>
    </row>
    <row r="48">
      <c r="A48" s="130" t="inlineStr">
        <is>
          <t>Total activo</t>
        </is>
      </c>
      <c r="C48" s="533">
        <f>C45+C46+C47</f>
        <v/>
      </c>
      <c r="D48" s="533">
        <f>D45+D46+D47</f>
        <v/>
      </c>
      <c r="E48" s="533">
        <f>E45+E46+E47</f>
        <v/>
      </c>
      <c r="F48" s="533">
        <f>F45+F46+F47</f>
        <v/>
      </c>
      <c r="G48" s="533">
        <f>G45+G46+G47</f>
        <v/>
      </c>
      <c r="H48" s="533">
        <f>H45+H46+H47</f>
        <v/>
      </c>
      <c r="I48" s="533">
        <f>I45+I46+I47</f>
        <v/>
      </c>
      <c r="J48" s="533">
        <f>J45+J46+J47</f>
        <v/>
      </c>
      <c r="K48" s="533">
        <f>K45+K46+K47</f>
        <v/>
      </c>
      <c r="L48" s="533">
        <f>L45+L46+L47</f>
        <v/>
      </c>
      <c r="M48" s="533">
        <f>M45+M46+M47</f>
        <v/>
      </c>
    </row>
    <row r="50">
      <c r="A50" s="111" t="inlineStr">
        <is>
          <t>Pasivo circulante</t>
        </is>
      </c>
      <c r="C50" s="497">
        <f>Balance!M17</f>
        <v/>
      </c>
      <c r="D50" s="497">
        <f>D8*Escenarios!$B$52</f>
        <v/>
      </c>
      <c r="E50" s="497">
        <f>E8*Escenarios!$B$52</f>
        <v/>
      </c>
      <c r="F50" s="497">
        <f>F8*Escenarios!$B$52</f>
        <v/>
      </c>
      <c r="G50" s="497">
        <f>G8*Escenarios!$B$52</f>
        <v/>
      </c>
      <c r="H50" s="497">
        <f>H8*Escenarios!$B$52</f>
        <v/>
      </c>
      <c r="I50" s="497">
        <f>I8*Escenarios!$B$52</f>
        <v/>
      </c>
      <c r="J50" s="497">
        <f>J8*Escenarios!$B$52</f>
        <v/>
      </c>
      <c r="K50" s="497">
        <f>K8*Escenarios!$B$52</f>
        <v/>
      </c>
      <c r="L50" s="497">
        <f>L8*Escenarios!$B$52</f>
        <v/>
      </c>
      <c r="M50" s="497">
        <f>M8*Escenarios!$B$52</f>
        <v/>
      </c>
    </row>
    <row r="51">
      <c r="A51" s="111" t="inlineStr">
        <is>
          <t>Deuda a largo plazo</t>
        </is>
      </c>
      <c r="C51" s="497">
        <f>Balance!M18</f>
        <v/>
      </c>
      <c r="D51" s="513">
        <f>C51+D41</f>
        <v/>
      </c>
      <c r="E51" s="513">
        <f>D51+E41</f>
        <v/>
      </c>
      <c r="F51" s="513">
        <f>E51+F41</f>
        <v/>
      </c>
      <c r="G51" s="513">
        <f>F51+G41</f>
        <v/>
      </c>
      <c r="H51" s="513">
        <f>G51+H41</f>
        <v/>
      </c>
      <c r="I51" s="513">
        <f>H51+I41</f>
        <v/>
      </c>
      <c r="J51" s="513">
        <f>I51+J41</f>
        <v/>
      </c>
      <c r="K51" s="513">
        <f>J51+K41</f>
        <v/>
      </c>
      <c r="L51" s="513">
        <f>K51+L41</f>
        <v/>
      </c>
      <c r="M51" s="513">
        <f>L51+M41</f>
        <v/>
      </c>
    </row>
    <row r="52">
      <c r="A52" s="111" t="inlineStr">
        <is>
          <t>Otros pasivos a largo plazo</t>
        </is>
      </c>
      <c r="C52" s="497">
        <f>Balance!M20-Balance!M18</f>
        <v/>
      </c>
      <c r="D52" s="513">
        <f>C52</f>
        <v/>
      </c>
      <c r="E52" s="513">
        <f>D52</f>
        <v/>
      </c>
      <c r="F52" s="513">
        <f>E52</f>
        <v/>
      </c>
      <c r="G52" s="513">
        <f>F52</f>
        <v/>
      </c>
      <c r="H52" s="513">
        <f>G52</f>
        <v/>
      </c>
      <c r="I52" s="513">
        <f>H52</f>
        <v/>
      </c>
      <c r="J52" s="513">
        <f>I52</f>
        <v/>
      </c>
      <c r="K52" s="513">
        <f>J52</f>
        <v/>
      </c>
      <c r="L52" s="513">
        <f>K52</f>
        <v/>
      </c>
      <c r="M52" s="513">
        <f>L52</f>
        <v/>
      </c>
    </row>
    <row r="53">
      <c r="A53" s="111" t="inlineStr">
        <is>
          <t>Patrimonio neto</t>
        </is>
      </c>
      <c r="C53" s="497">
        <f>Balance!M26</f>
        <v/>
      </c>
      <c r="D53" s="513">
        <f>C53+D22+D32+D39+D40</f>
        <v/>
      </c>
      <c r="E53" s="513">
        <f>D53+E22+E32+E39+E40</f>
        <v/>
      </c>
      <c r="F53" s="513">
        <f>E53+F22+F32+F39+F40</f>
        <v/>
      </c>
      <c r="G53" s="513">
        <f>F53+G22+G32+G39+G40</f>
        <v/>
      </c>
      <c r="H53" s="513">
        <f>G53+H22+H32+H39+H40</f>
        <v/>
      </c>
      <c r="I53" s="513">
        <f>H53+I22+I32+I39+I40</f>
        <v/>
      </c>
      <c r="J53" s="513">
        <f>I53+J22+J32+J39+J40</f>
        <v/>
      </c>
      <c r="K53" s="513">
        <f>J53+K22+K32+K39+K40</f>
        <v/>
      </c>
      <c r="L53" s="513">
        <f>K53+L22+L32+L39+L40</f>
        <v/>
      </c>
      <c r="M53" s="513">
        <f>L53+M22+M32+M39+M40</f>
        <v/>
      </c>
    </row>
    <row r="54">
      <c r="A54" s="130" t="inlineStr">
        <is>
          <t>Total pasivo y patrimonio</t>
        </is>
      </c>
      <c r="C54" s="533">
        <f>C50+C51+C52+C53</f>
        <v/>
      </c>
      <c r="D54" s="533">
        <f>D50+D51+D52+D53</f>
        <v/>
      </c>
      <c r="E54" s="533">
        <f>E50+E51+E52+E53</f>
        <v/>
      </c>
      <c r="F54" s="533">
        <f>F50+F51+F52+F53</f>
        <v/>
      </c>
      <c r="G54" s="533">
        <f>G50+G51+G52+G53</f>
        <v/>
      </c>
      <c r="H54" s="533">
        <f>H50+H51+H52+H53</f>
        <v/>
      </c>
      <c r="I54" s="533">
        <f>I50+I51+I52+I53</f>
        <v/>
      </c>
      <c r="J54" s="533">
        <f>J50+J51+J52+J53</f>
        <v/>
      </c>
      <c r="K54" s="533">
        <f>K50+K51+K52+K53</f>
        <v/>
      </c>
      <c r="L54" s="533">
        <f>L50+L51+L52+L53</f>
        <v/>
      </c>
      <c r="M54" s="533">
        <f>M50+M51+M52+M53</f>
        <v/>
      </c>
    </row>
    <row r="55">
      <c r="A55" s="111" t="inlineStr">
        <is>
          <t>Comprobación (debe ser 0)</t>
        </is>
      </c>
      <c r="C55" s="513">
        <f>ROUND(C48-C54,3)</f>
        <v/>
      </c>
      <c r="D55" s="513">
        <f>ROUND(D48-D54,3)</f>
        <v/>
      </c>
      <c r="E55" s="513">
        <f>ROUND(E48-E54,3)</f>
        <v/>
      </c>
      <c r="F55" s="513">
        <f>ROUND(F48-F54,3)</f>
        <v/>
      </c>
      <c r="G55" s="513">
        <f>ROUND(G48-G54,3)</f>
        <v/>
      </c>
      <c r="H55" s="513">
        <f>ROUND(H48-H54,3)</f>
        <v/>
      </c>
      <c r="I55" s="513">
        <f>ROUND(I48-I54,3)</f>
        <v/>
      </c>
      <c r="J55" s="513">
        <f>ROUND(J48-J54,3)</f>
        <v/>
      </c>
      <c r="K55" s="513">
        <f>ROUND(K48-K54,3)</f>
        <v/>
      </c>
      <c r="L55" s="513">
        <f>ROUND(L48-L54,3)</f>
        <v/>
      </c>
      <c r="M55" s="513">
        <f>ROUND(M48-M54,3)</f>
        <v/>
      </c>
    </row>
    <row r="57">
      <c r="A57" s="119" t="inlineStr">
        <is>
          <t>RATIOS</t>
        </is>
      </c>
      <c r="B57" s="147" t="n"/>
      <c r="C57" s="147" t="n"/>
      <c r="D57" s="147" t="n"/>
      <c r="E57" s="147" t="n"/>
      <c r="F57" s="147" t="n"/>
      <c r="G57" s="147" t="n"/>
      <c r="H57" s="147" t="n"/>
      <c r="I57" s="147" t="n"/>
      <c r="J57" s="147" t="n"/>
      <c r="K57" s="147" t="n"/>
      <c r="L57" s="147" t="n"/>
      <c r="M57" s="147" t="n"/>
    </row>
    <row r="58">
      <c r="A58" s="119" t="inlineStr">
        <is>
          <t>ROE</t>
        </is>
      </c>
      <c r="B58" s="147" t="n"/>
      <c r="C58" s="538">
        <f>C22/C53</f>
        <v/>
      </c>
      <c r="D58" s="538">
        <f>IFERROR(D22/AVERAGE(C53,D53),0)</f>
        <v/>
      </c>
      <c r="E58" s="538">
        <f>IFERROR(E22/AVERAGE(D53,E53),0)</f>
        <v/>
      </c>
      <c r="F58" s="538">
        <f>IFERROR(F22/AVERAGE(E53,F53),0)</f>
        <v/>
      </c>
      <c r="G58" s="538">
        <f>IFERROR(G22/AVERAGE(F53,G53),0)</f>
        <v/>
      </c>
      <c r="H58" s="538">
        <f>IFERROR(H22/AVERAGE(G53,H53),0)</f>
        <v/>
      </c>
      <c r="I58" s="538">
        <f>IFERROR(I22/AVERAGE(H53,I53),0)</f>
        <v/>
      </c>
      <c r="J58" s="538">
        <f>IFERROR(J22/AVERAGE(I53,J53),0)</f>
        <v/>
      </c>
      <c r="K58" s="538">
        <f>IFERROR(K22/AVERAGE(J53,K53),0)</f>
        <v/>
      </c>
      <c r="L58" s="538">
        <f>IFERROR(L22/AVERAGE(K53,L53),0)</f>
        <v/>
      </c>
      <c r="M58" s="538">
        <f>IFERROR(M22/AVERAGE(L53,M53),0)</f>
        <v/>
      </c>
    </row>
    <row r="59">
      <c r="A59" s="111" t="inlineStr">
        <is>
          <t>Valor contable por acción</t>
        </is>
      </c>
      <c r="C59" s="505">
        <f>C53/C24</f>
        <v/>
      </c>
      <c r="D59" s="505">
        <f>D53/D24</f>
        <v/>
      </c>
      <c r="E59" s="505">
        <f>E53/E24</f>
        <v/>
      </c>
      <c r="F59" s="505">
        <f>F53/F24</f>
        <v/>
      </c>
      <c r="G59" s="505">
        <f>G53/G24</f>
        <v/>
      </c>
      <c r="H59" s="505">
        <f>H53/H24</f>
        <v/>
      </c>
      <c r="I59" s="505">
        <f>I53/I24</f>
        <v/>
      </c>
      <c r="J59" s="505">
        <f>J53/J24</f>
        <v/>
      </c>
      <c r="K59" s="505">
        <f>K53/K24</f>
        <v/>
      </c>
      <c r="L59" s="505">
        <f>L53/L24</f>
        <v/>
      </c>
      <c r="M59" s="505">
        <f>M53/M24</f>
        <v/>
      </c>
    </row>
    <row r="60">
      <c r="A60" s="111" t="inlineStr">
        <is>
          <t>Deuda neta / EBITDA</t>
        </is>
      </c>
      <c r="C60" s="510">
        <f>IF(C18&gt;0,(C51-C45)/C18,"n.a.")</f>
        <v/>
      </c>
      <c r="D60" s="510">
        <f>IF(D18&gt;0,(D51-D45)/D18,"n.a.")</f>
        <v/>
      </c>
      <c r="E60" s="510">
        <f>IF(E18&gt;0,(E51-E45)/E18,"n.a.")</f>
        <v/>
      </c>
      <c r="F60" s="510">
        <f>IF(F18&gt;0,(F51-F45)/F18,"n.a.")</f>
        <v/>
      </c>
      <c r="G60" s="510">
        <f>IF(G18&gt;0,(G51-G45)/G18,"n.a.")</f>
        <v/>
      </c>
      <c r="H60" s="510">
        <f>IF(H18&gt;0,(H51-H45)/H18,"n.a.")</f>
        <v/>
      </c>
      <c r="I60" s="510">
        <f>IF(I18&gt;0,(I51-I45)/I18,"n.a.")</f>
        <v/>
      </c>
      <c r="J60" s="510">
        <f>IF(J18&gt;0,(J51-J45)/J18,"n.a.")</f>
        <v/>
      </c>
      <c r="K60" s="510">
        <f>IF(K18&gt;0,(K51-K45)/K18,"n.a.")</f>
        <v/>
      </c>
      <c r="L60" s="510">
        <f>IF(L18&gt;0,(L51-L45)/L18,"n.a.")</f>
        <v/>
      </c>
      <c r="M60" s="510">
        <f>IF(M18&gt;0,(M51-M45)/M18,"n.a.")</f>
        <v/>
      </c>
    </row>
    <row r="61">
      <c r="A61" s="111" t="inlineStr">
        <is>
          <t>Flujo de caja libre por acción</t>
        </is>
      </c>
      <c r="C61" s="505">
        <f>C36/C24</f>
        <v/>
      </c>
      <c r="D61" s="505">
        <f>D36/D24</f>
        <v/>
      </c>
      <c r="E61" s="505">
        <f>E36/E24</f>
        <v/>
      </c>
      <c r="F61" s="505">
        <f>F36/F24</f>
        <v/>
      </c>
      <c r="G61" s="505">
        <f>G36/G24</f>
        <v/>
      </c>
      <c r="H61" s="505">
        <f>H36/H24</f>
        <v/>
      </c>
      <c r="I61" s="505">
        <f>I36/I24</f>
        <v/>
      </c>
      <c r="J61" s="505">
        <f>J36/J24</f>
        <v/>
      </c>
      <c r="K61" s="505">
        <f>K36/K24</f>
        <v/>
      </c>
      <c r="L61" s="505">
        <f>L36/L24</f>
        <v/>
      </c>
      <c r="M61" s="505">
        <f>M36/M24</f>
        <v/>
      </c>
    </row>
    <row r="62" ht="15.75" customHeight="1" s="377" thickBot="1">
      <c r="A62" s="196" t="inlineStr">
        <is>
          <t>Variación de acciones en el año</t>
        </is>
      </c>
      <c r="B62" s="197" t="n"/>
      <c r="C62" s="198">
        <f>PyG!M27/PyG!L27-1</f>
        <v/>
      </c>
      <c r="D62" s="199">
        <f>D24/C24-1</f>
        <v/>
      </c>
      <c r="E62" s="199">
        <f>E24/D24-1</f>
        <v/>
      </c>
      <c r="F62" s="199">
        <f>F24/E24-1</f>
        <v/>
      </c>
      <c r="G62" s="199">
        <f>G24/F24-1</f>
        <v/>
      </c>
      <c r="H62" s="199">
        <f>H24/G24-1</f>
        <v/>
      </c>
      <c r="I62" s="199">
        <f>I24/H24-1</f>
        <v/>
      </c>
      <c r="J62" s="199">
        <f>J24/I24-1</f>
        <v/>
      </c>
      <c r="K62" s="199">
        <f>K24/J24-1</f>
        <v/>
      </c>
      <c r="L62" s="199">
        <f>L24/K24-1</f>
        <v/>
      </c>
      <c r="M62" s="199">
        <f>M24/L24-1</f>
        <v/>
      </c>
    </row>
    <row r="63" ht="15.75" customHeight="1" s="377" thickTop="1"/>
    <row r="64">
      <c r="A64" s="108" t="inlineStr">
        <is>
          <t>Recompras: la parte del flujo de caja libre (después de dividendos) que indica el escenario. Las acciones bajan en lo recomprado y suben en la remuneración en acciones, al precio que resulta del BPA del año anterior y de un PER que pasa del actual al de salida.</t>
        </is>
      </c>
    </row>
    <row r="65">
      <c r="A65" s="108" t="inlineStr">
        <is>
          <t>Márgenes: pasan en línea recta del último real al del escenario en los años indicados en «Escenarios». El activo no corriente crece con el capex y baja con las amortizaciones. La caja cuadra el balance.</t>
        </is>
      </c>
    </row>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M65"/>
  <sheetViews>
    <sheetView showGridLines="0" zoomScaleNormal="100" workbookViewId="0">
      <pane xSplit="2" ySplit="4" topLeftCell="C5" activePane="bottomRight" state="frozen"/>
      <selection pane="topRight" activeCell="C1" sqref="C1"/>
      <selection pane="bottomLeft" activeCell="A5" sqref="A5"/>
      <selection pane="bottomRight" activeCell="M25" sqref="M25"/>
    </sheetView>
  </sheetViews>
  <sheetFormatPr baseColWidth="10" defaultColWidth="8.5703125" defaultRowHeight="15"/>
  <cols>
    <col width="49.5703125" customWidth="1" style="377" min="1" max="1"/>
    <col width="9.5703125" customWidth="1" style="377" min="2" max="2"/>
    <col width="13.28515625" customWidth="1" style="377" min="3" max="13"/>
  </cols>
  <sheetData>
    <row r="1" ht="18.75" customHeight="1" s="377">
      <c r="A1" s="107" t="inlineStr">
        <is>
          <t>ADOBE · Proyección del escenario adverso</t>
        </is>
      </c>
    </row>
    <row r="2">
      <c r="A2" s="108" t="inlineStr">
        <is>
          <t>Millones de USD salvo datos por acción. Supuestos en la hoja «Escenarios». La columna 2025 es real.</t>
        </is>
      </c>
    </row>
    <row r="4" ht="15.75" customHeight="1" s="377" thickBot="1">
      <c r="A4" s="119" t="inlineStr">
        <is>
          <t>Ejercicio</t>
        </is>
      </c>
      <c r="B4" s="120" t="n"/>
      <c r="C4" s="195" t="inlineStr">
        <is>
          <t>2025 real</t>
        </is>
      </c>
      <c r="D4" s="195" t="inlineStr">
        <is>
          <t>2026</t>
        </is>
      </c>
      <c r="E4" s="195" t="inlineStr">
        <is>
          <t>2027</t>
        </is>
      </c>
      <c r="F4" s="195" t="inlineStr">
        <is>
          <t>2028</t>
        </is>
      </c>
      <c r="G4" s="195" t="inlineStr">
        <is>
          <t>2029</t>
        </is>
      </c>
      <c r="H4" s="195" t="inlineStr">
        <is>
          <t>2030</t>
        </is>
      </c>
      <c r="I4" s="195" t="inlineStr">
        <is>
          <t>2031</t>
        </is>
      </c>
      <c r="J4" s="195" t="inlineStr">
        <is>
          <t>2032</t>
        </is>
      </c>
      <c r="K4" s="195" t="inlineStr">
        <is>
          <t>2033</t>
        </is>
      </c>
      <c r="L4" s="195" t="inlineStr">
        <is>
          <t>2034</t>
        </is>
      </c>
      <c r="M4" s="195" t="inlineStr">
        <is>
          <t>2035</t>
        </is>
      </c>
    </row>
    <row r="5">
      <c r="A5" s="111" t="inlineStr">
        <is>
          <t>Año de proyección</t>
        </is>
      </c>
      <c r="C5" s="126" t="n">
        <v>0</v>
      </c>
      <c r="D5" s="126" t="n">
        <v>1</v>
      </c>
      <c r="E5" s="126" t="n">
        <v>2</v>
      </c>
      <c r="F5" s="126" t="n">
        <v>3</v>
      </c>
      <c r="G5" s="126" t="n">
        <v>4</v>
      </c>
      <c r="H5" s="126" t="n">
        <v>5</v>
      </c>
      <c r="I5" s="126" t="n">
        <v>6</v>
      </c>
      <c r="J5" s="126" t="n">
        <v>7</v>
      </c>
      <c r="K5" s="126" t="n">
        <v>8</v>
      </c>
      <c r="L5" s="126" t="n">
        <v>9</v>
      </c>
      <c r="M5" s="126" t="n">
        <v>10</v>
      </c>
    </row>
    <row r="6">
      <c r="A6" s="119" t="inlineStr">
        <is>
          <t>CUENTA DE RESULTADOS</t>
        </is>
      </c>
      <c r="B6" s="147" t="n"/>
      <c r="C6" s="147" t="n"/>
      <c r="D6" s="147" t="n"/>
      <c r="E6" s="147" t="n"/>
      <c r="F6" s="147" t="n"/>
      <c r="G6" s="147" t="n"/>
      <c r="H6" s="147" t="n"/>
      <c r="I6" s="147" t="n"/>
      <c r="J6" s="147" t="n"/>
      <c r="K6" s="147" t="n"/>
      <c r="L6" s="147" t="n"/>
      <c r="M6" s="147" t="n"/>
    </row>
    <row r="7">
      <c r="A7" s="111" t="inlineStr">
        <is>
          <t>Crecimiento de ventas</t>
        </is>
      </c>
      <c r="C7" s="500">
        <f>PyG!M8/PyG!L8-1</f>
        <v/>
      </c>
      <c r="D7" s="500">
        <f>Escenarios!$E$72+(Escenarios!$E$73-Escenarios!$E$72)*(D$5-1)/9</f>
        <v/>
      </c>
      <c r="E7" s="500">
        <f>Escenarios!$E$72+(Escenarios!$E$73-Escenarios!$E$72)*(E$5-1)/9</f>
        <v/>
      </c>
      <c r="F7" s="500">
        <f>Escenarios!$E$72+(Escenarios!$E$73-Escenarios!$E$72)*(F$5-1)/9</f>
        <v/>
      </c>
      <c r="G7" s="500">
        <f>Escenarios!$E$72+(Escenarios!$E$73-Escenarios!$E$72)*(G$5-1)/9</f>
        <v/>
      </c>
      <c r="H7" s="500">
        <f>Escenarios!$E$72+(Escenarios!$E$73-Escenarios!$E$72)*(H$5-1)/9</f>
        <v/>
      </c>
      <c r="I7" s="500">
        <f>Escenarios!$E$72+(Escenarios!$E$73-Escenarios!$E$72)*(I$5-1)/9</f>
        <v/>
      </c>
      <c r="J7" s="500">
        <f>Escenarios!$E$72+(Escenarios!$E$73-Escenarios!$E$72)*(J$5-1)/9</f>
        <v/>
      </c>
      <c r="K7" s="500">
        <f>Escenarios!$E$72+(Escenarios!$E$73-Escenarios!$E$72)*(K$5-1)/9</f>
        <v/>
      </c>
      <c r="L7" s="500">
        <f>Escenarios!$E$72+(Escenarios!$E$73-Escenarios!$E$72)*(L$5-1)/9</f>
        <v/>
      </c>
      <c r="M7" s="500">
        <f>Escenarios!$E$72+(Escenarios!$E$73-Escenarios!$E$72)*(M$5-1)/9</f>
        <v/>
      </c>
    </row>
    <row r="8">
      <c r="A8" s="130" t="inlineStr">
        <is>
          <t>Ventas</t>
        </is>
      </c>
      <c r="C8" s="532">
        <f>PyG!M8</f>
        <v/>
      </c>
      <c r="D8" s="533">
        <f>C8*(1+D7)</f>
        <v/>
      </c>
      <c r="E8" s="533">
        <f>D8*(1+E7)</f>
        <v/>
      </c>
      <c r="F8" s="533">
        <f>E8*(1+F7)</f>
        <v/>
      </c>
      <c r="G8" s="533">
        <f>F8*(1+G7)</f>
        <v/>
      </c>
      <c r="H8" s="533">
        <f>G8*(1+H7)</f>
        <v/>
      </c>
      <c r="I8" s="533">
        <f>H8*(1+I7)</f>
        <v/>
      </c>
      <c r="J8" s="533">
        <f>I8*(1+J7)</f>
        <v/>
      </c>
      <c r="K8" s="533">
        <f>J8*(1+K7)</f>
        <v/>
      </c>
      <c r="L8" s="533">
        <f>K8*(1+L7)</f>
        <v/>
      </c>
      <c r="M8" s="533">
        <f>L8*(1+M7)</f>
        <v/>
      </c>
    </row>
    <row r="9">
      <c r="A9" s="111" t="inlineStr">
        <is>
          <t>Coste de ventas</t>
        </is>
      </c>
      <c r="C9" s="497">
        <f>PyG!M9</f>
        <v/>
      </c>
      <c r="D9" s="513">
        <f>D8*(1-D11)</f>
        <v/>
      </c>
      <c r="E9" s="513">
        <f>E8*(1-E11)</f>
        <v/>
      </c>
      <c r="F9" s="513">
        <f>F8*(1-F11)</f>
        <v/>
      </c>
      <c r="G9" s="513">
        <f>G8*(1-G11)</f>
        <v/>
      </c>
      <c r="H9" s="513">
        <f>H8*(1-H11)</f>
        <v/>
      </c>
      <c r="I9" s="513">
        <f>I8*(1-I11)</f>
        <v/>
      </c>
      <c r="J9" s="513">
        <f>J8*(1-J11)</f>
        <v/>
      </c>
      <c r="K9" s="513">
        <f>K8*(1-K11)</f>
        <v/>
      </c>
      <c r="L9" s="513">
        <f>L8*(1-L11)</f>
        <v/>
      </c>
      <c r="M9" s="513">
        <f>M8*(1-M11)</f>
        <v/>
      </c>
    </row>
    <row r="10">
      <c r="A10" s="130" t="inlineStr">
        <is>
          <t>Margen bruto</t>
        </is>
      </c>
      <c r="C10" s="532">
        <f>PyG!M10</f>
        <v/>
      </c>
      <c r="D10" s="533">
        <f>D8-D9</f>
        <v/>
      </c>
      <c r="E10" s="533">
        <f>E8-E9</f>
        <v/>
      </c>
      <c r="F10" s="533">
        <f>F8-F9</f>
        <v/>
      </c>
      <c r="G10" s="533">
        <f>G8-G9</f>
        <v/>
      </c>
      <c r="H10" s="533">
        <f>H8-H9</f>
        <v/>
      </c>
      <c r="I10" s="533">
        <f>I8-I9</f>
        <v/>
      </c>
      <c r="J10" s="533">
        <f>J8-J9</f>
        <v/>
      </c>
      <c r="K10" s="533">
        <f>K8-K9</f>
        <v/>
      </c>
      <c r="L10" s="533">
        <f>L8-L9</f>
        <v/>
      </c>
      <c r="M10" s="533">
        <f>M8-M9</f>
        <v/>
      </c>
    </row>
    <row r="11">
      <c r="A11" s="111" t="inlineStr">
        <is>
          <t>Margen bruto %</t>
        </is>
      </c>
      <c r="C11" s="498">
        <f>C10/C8</f>
        <v/>
      </c>
      <c r="D11" s="500">
        <f>$C$11+(Escenarios!$E$74-$C$11)*MIN(D$5/Escenarios!$B$11,1)</f>
        <v/>
      </c>
      <c r="E11" s="500">
        <f>$C$11+(Escenarios!$E$74-$C$11)*MIN(E$5/Escenarios!$B$11,1)</f>
        <v/>
      </c>
      <c r="F11" s="500">
        <f>$C$11+(Escenarios!$E$74-$C$11)*MIN(F$5/Escenarios!$B$11,1)</f>
        <v/>
      </c>
      <c r="G11" s="500">
        <f>$C$11+(Escenarios!$E$74-$C$11)*MIN(G$5/Escenarios!$B$11,1)</f>
        <v/>
      </c>
      <c r="H11" s="500">
        <f>$C$11+(Escenarios!$E$74-$C$11)*MIN(H$5/Escenarios!$B$11,1)</f>
        <v/>
      </c>
      <c r="I11" s="500">
        <f>$C$11+(Escenarios!$E$74-$C$11)*MIN(I$5/Escenarios!$B$11,1)</f>
        <v/>
      </c>
      <c r="J11" s="500">
        <f>$C$11+(Escenarios!$E$74-$C$11)*MIN(J$5/Escenarios!$B$11,1)</f>
        <v/>
      </c>
      <c r="K11" s="500">
        <f>$C$11+(Escenarios!$E$74-$C$11)*MIN(K$5/Escenarios!$B$11,1)</f>
        <v/>
      </c>
      <c r="L11" s="500">
        <f>$C$11+(Escenarios!$E$74-$C$11)*MIN(L$5/Escenarios!$B$11,1)</f>
        <v/>
      </c>
      <c r="M11" s="500">
        <f>$C$11+(Escenarios!$E$74-$C$11)*MIN(M$5/Escenarios!$B$11,1)</f>
        <v/>
      </c>
    </row>
    <row r="12">
      <c r="A12" s="111" t="inlineStr">
        <is>
          <t>Gastos operativos</t>
        </is>
      </c>
      <c r="C12" s="497">
        <f>PyG!M14</f>
        <v/>
      </c>
      <c r="D12" s="513">
        <f>D10-D15</f>
        <v/>
      </c>
      <c r="E12" s="513">
        <f>E10-E15</f>
        <v/>
      </c>
      <c r="F12" s="513">
        <f>F10-F15</f>
        <v/>
      </c>
      <c r="G12" s="513">
        <f>G10-G15</f>
        <v/>
      </c>
      <c r="H12" s="513">
        <f>H10-H15</f>
        <v/>
      </c>
      <c r="I12" s="513">
        <f>I10-I15</f>
        <v/>
      </c>
      <c r="J12" s="513">
        <f>J10-J15</f>
        <v/>
      </c>
      <c r="K12" s="513">
        <f>K10-K15</f>
        <v/>
      </c>
      <c r="L12" s="513">
        <f>L10-L15</f>
        <v/>
      </c>
      <c r="M12" s="513">
        <f>M10-M15</f>
        <v/>
      </c>
    </row>
    <row r="13">
      <c r="A13" s="111" t="inlineStr">
        <is>
          <t xml:space="preserve">   de los cuales I+D</t>
        </is>
      </c>
      <c r="C13" s="497">
        <f>PyG!M11</f>
        <v/>
      </c>
      <c r="D13" s="497">
        <f>D12*Escenarios!$B$50</f>
        <v/>
      </c>
      <c r="E13" s="497">
        <f>E12*Escenarios!$B$50</f>
        <v/>
      </c>
      <c r="F13" s="497">
        <f>F12*Escenarios!$B$50</f>
        <v/>
      </c>
      <c r="G13" s="497">
        <f>G12*Escenarios!$B$50</f>
        <v/>
      </c>
      <c r="H13" s="497">
        <f>H12*Escenarios!$B$50</f>
        <v/>
      </c>
      <c r="I13" s="497">
        <f>I12*Escenarios!$B$50</f>
        <v/>
      </c>
      <c r="J13" s="497">
        <f>J12*Escenarios!$B$50</f>
        <v/>
      </c>
      <c r="K13" s="497">
        <f>K12*Escenarios!$B$50</f>
        <v/>
      </c>
      <c r="L13" s="497">
        <f>L12*Escenarios!$B$50</f>
        <v/>
      </c>
      <c r="M13" s="497">
        <f>M12*Escenarios!$B$50</f>
        <v/>
      </c>
    </row>
    <row r="14">
      <c r="A14" s="111" t="inlineStr">
        <is>
          <t xml:space="preserve">   de los cuales comerciales, generales y otros</t>
        </is>
      </c>
      <c r="C14" s="497">
        <f>PyG!M14-PyG!M11</f>
        <v/>
      </c>
      <c r="D14" s="513">
        <f>D12-D13</f>
        <v/>
      </c>
      <c r="E14" s="513">
        <f>E12-E13</f>
        <v/>
      </c>
      <c r="F14" s="513">
        <f>F12-F13</f>
        <v/>
      </c>
      <c r="G14" s="513">
        <f>G12-G13</f>
        <v/>
      </c>
      <c r="H14" s="513">
        <f>H12-H13</f>
        <v/>
      </c>
      <c r="I14" s="513">
        <f>I12-I13</f>
        <v/>
      </c>
      <c r="J14" s="513">
        <f>J12-J13</f>
        <v/>
      </c>
      <c r="K14" s="513">
        <f>K12-K13</f>
        <v/>
      </c>
      <c r="L14" s="513">
        <f>L12-L13</f>
        <v/>
      </c>
      <c r="M14" s="513">
        <f>M12-M13</f>
        <v/>
      </c>
    </row>
    <row r="15">
      <c r="A15" s="130" t="inlineStr">
        <is>
          <t>Resultado operativo (EBIT)</t>
        </is>
      </c>
      <c r="C15" s="532">
        <f>PyG!M15</f>
        <v/>
      </c>
      <c r="D15" s="533">
        <f>D8*D16</f>
        <v/>
      </c>
      <c r="E15" s="533">
        <f>E8*E16</f>
        <v/>
      </c>
      <c r="F15" s="533">
        <f>F8*F16</f>
        <v/>
      </c>
      <c r="G15" s="533">
        <f>G8*G16</f>
        <v/>
      </c>
      <c r="H15" s="533">
        <f>H8*H16</f>
        <v/>
      </c>
      <c r="I15" s="533">
        <f>I8*I16</f>
        <v/>
      </c>
      <c r="J15" s="533">
        <f>J8*J16</f>
        <v/>
      </c>
      <c r="K15" s="533">
        <f>K8*K16</f>
        <v/>
      </c>
      <c r="L15" s="533">
        <f>L8*L16</f>
        <v/>
      </c>
      <c r="M15" s="533">
        <f>M8*M16</f>
        <v/>
      </c>
    </row>
    <row r="16">
      <c r="A16" s="111" t="inlineStr">
        <is>
          <t>Margen operativo %</t>
        </is>
      </c>
      <c r="C16" s="498">
        <f>C15/C8</f>
        <v/>
      </c>
      <c r="D16" s="500">
        <f>$C$16+(Escenarios!$E$75-$C$16)*MIN(D$5/Escenarios!$B$11,1)</f>
        <v/>
      </c>
      <c r="E16" s="500">
        <f>$C$16+(Escenarios!$E$75-$C$16)*MIN(E$5/Escenarios!$B$11,1)</f>
        <v/>
      </c>
      <c r="F16" s="500">
        <f>$C$16+(Escenarios!$E$75-$C$16)*MIN(F$5/Escenarios!$B$11,1)</f>
        <v/>
      </c>
      <c r="G16" s="500">
        <f>$C$16+(Escenarios!$E$75-$C$16)*MIN(G$5/Escenarios!$B$11,1)</f>
        <v/>
      </c>
      <c r="H16" s="500">
        <f>$C$16+(Escenarios!$E$75-$C$16)*MIN(H$5/Escenarios!$B$11,1)</f>
        <v/>
      </c>
      <c r="I16" s="500">
        <f>$C$16+(Escenarios!$E$75-$C$16)*MIN(I$5/Escenarios!$B$11,1)</f>
        <v/>
      </c>
      <c r="J16" s="500">
        <f>$C$16+(Escenarios!$E$75-$C$16)*MIN(J$5/Escenarios!$B$11,1)</f>
        <v/>
      </c>
      <c r="K16" s="500">
        <f>$C$16+(Escenarios!$E$75-$C$16)*MIN(K$5/Escenarios!$B$11,1)</f>
        <v/>
      </c>
      <c r="L16" s="500">
        <f>$C$16+(Escenarios!$E$75-$C$16)*MIN(L$5/Escenarios!$B$11,1)</f>
        <v/>
      </c>
      <c r="M16" s="500">
        <f>$C$16+(Escenarios!$E$75-$C$16)*MIN(M$5/Escenarios!$B$11,1)</f>
        <v/>
      </c>
    </row>
    <row r="17">
      <c r="A17" s="111" t="inlineStr">
        <is>
          <t>Amortizaciones</t>
        </is>
      </c>
      <c r="C17" s="497">
        <f>'Cash Flow'!M7</f>
        <v/>
      </c>
      <c r="D17" s="497">
        <f>D8*Escenarios!$B$47</f>
        <v/>
      </c>
      <c r="E17" s="497">
        <f>E8*Escenarios!$B$47</f>
        <v/>
      </c>
      <c r="F17" s="497">
        <f>F8*Escenarios!$B$47</f>
        <v/>
      </c>
      <c r="G17" s="497">
        <f>G8*Escenarios!$B$47</f>
        <v/>
      </c>
      <c r="H17" s="497">
        <f>H8*Escenarios!$B$47</f>
        <v/>
      </c>
      <c r="I17" s="497">
        <f>I8*Escenarios!$B$47</f>
        <v/>
      </c>
      <c r="J17" s="497">
        <f>J8*Escenarios!$B$47</f>
        <v/>
      </c>
      <c r="K17" s="497">
        <f>K8*Escenarios!$B$47</f>
        <v/>
      </c>
      <c r="L17" s="497">
        <f>L8*Escenarios!$B$47</f>
        <v/>
      </c>
      <c r="M17" s="497">
        <f>M8*Escenarios!$B$47</f>
        <v/>
      </c>
    </row>
    <row r="18">
      <c r="A18" s="119" t="inlineStr">
        <is>
          <t>EBITDA</t>
        </is>
      </c>
      <c r="B18" s="147" t="n"/>
      <c r="C18" s="534">
        <f>C15+C17</f>
        <v/>
      </c>
      <c r="D18" s="534">
        <f>D15+D17</f>
        <v/>
      </c>
      <c r="E18" s="534">
        <f>E15+E17</f>
        <v/>
      </c>
      <c r="F18" s="534">
        <f>F15+F17</f>
        <v/>
      </c>
      <c r="G18" s="534">
        <f>G15+G17</f>
        <v/>
      </c>
      <c r="H18" s="534">
        <f>H15+H17</f>
        <v/>
      </c>
      <c r="I18" s="534">
        <f>I15+I17</f>
        <v/>
      </c>
      <c r="J18" s="534">
        <f>J15+J17</f>
        <v/>
      </c>
      <c r="K18" s="534">
        <f>K15+K17</f>
        <v/>
      </c>
      <c r="L18" s="534">
        <f>L15+L17</f>
        <v/>
      </c>
      <c r="M18" s="534">
        <f>M15+M17</f>
        <v/>
      </c>
    </row>
    <row r="19">
      <c r="A19" s="111" t="inlineStr">
        <is>
          <t>Resultado no operativo</t>
        </is>
      </c>
      <c r="C19" s="497">
        <f>PyG!M16</f>
        <v/>
      </c>
      <c r="D19" s="497">
        <f>D8*Escenarios!$B$46</f>
        <v/>
      </c>
      <c r="E19" s="497">
        <f>E8*Escenarios!$B$46</f>
        <v/>
      </c>
      <c r="F19" s="497">
        <f>F8*Escenarios!$B$46</f>
        <v/>
      </c>
      <c r="G19" s="497">
        <f>G8*Escenarios!$B$46</f>
        <v/>
      </c>
      <c r="H19" s="497">
        <f>H8*Escenarios!$B$46</f>
        <v/>
      </c>
      <c r="I19" s="497">
        <f>I8*Escenarios!$B$46</f>
        <v/>
      </c>
      <c r="J19" s="497">
        <f>J8*Escenarios!$B$46</f>
        <v/>
      </c>
      <c r="K19" s="497">
        <f>K8*Escenarios!$B$46</f>
        <v/>
      </c>
      <c r="L19" s="497">
        <f>L8*Escenarios!$B$46</f>
        <v/>
      </c>
      <c r="M19" s="497">
        <f>M8*Escenarios!$B$46</f>
        <v/>
      </c>
    </row>
    <row r="20">
      <c r="A20" s="111" t="inlineStr">
        <is>
          <t>Beneficio antes de impuestos</t>
        </is>
      </c>
      <c r="C20" s="497">
        <f>PyG!M17</f>
        <v/>
      </c>
      <c r="D20" s="513">
        <f>D15+D19</f>
        <v/>
      </c>
      <c r="E20" s="513">
        <f>E15+E19</f>
        <v/>
      </c>
      <c r="F20" s="513">
        <f>F15+F19</f>
        <v/>
      </c>
      <c r="G20" s="513">
        <f>G15+G19</f>
        <v/>
      </c>
      <c r="H20" s="513">
        <f>H15+H19</f>
        <v/>
      </c>
      <c r="I20" s="513">
        <f>I15+I19</f>
        <v/>
      </c>
      <c r="J20" s="513">
        <f>J15+J19</f>
        <v/>
      </c>
      <c r="K20" s="513">
        <f>K15+K19</f>
        <v/>
      </c>
      <c r="L20" s="513">
        <f>L15+L19</f>
        <v/>
      </c>
      <c r="M20" s="513">
        <f>M15+M19</f>
        <v/>
      </c>
    </row>
    <row r="21">
      <c r="A21" s="111" t="inlineStr">
        <is>
          <t>Impuestos</t>
        </is>
      </c>
      <c r="C21" s="497">
        <f>PyG!M18</f>
        <v/>
      </c>
      <c r="D21" s="497">
        <f>MAX(D20,0)*Escenarios!$B$45</f>
        <v/>
      </c>
      <c r="E21" s="497">
        <f>MAX(E20,0)*Escenarios!$B$45</f>
        <v/>
      </c>
      <c r="F21" s="497">
        <f>MAX(F20,0)*Escenarios!$B$45</f>
        <v/>
      </c>
      <c r="G21" s="497">
        <f>MAX(G20,0)*Escenarios!$B$45</f>
        <v/>
      </c>
      <c r="H21" s="497">
        <f>MAX(H20,0)*Escenarios!$B$45</f>
        <v/>
      </c>
      <c r="I21" s="497">
        <f>MAX(I20,0)*Escenarios!$B$45</f>
        <v/>
      </c>
      <c r="J21" s="497">
        <f>MAX(J20,0)*Escenarios!$B$45</f>
        <v/>
      </c>
      <c r="K21" s="497">
        <f>MAX(K20,0)*Escenarios!$B$45</f>
        <v/>
      </c>
      <c r="L21" s="497">
        <f>MAX(L20,0)*Escenarios!$B$45</f>
        <v/>
      </c>
      <c r="M21" s="497">
        <f>MAX(M20,0)*Escenarios!$B$45</f>
        <v/>
      </c>
    </row>
    <row r="22">
      <c r="A22" s="130" t="inlineStr">
        <is>
          <t>Beneficio neto</t>
        </is>
      </c>
      <c r="C22" s="532">
        <f>PyG!M23</f>
        <v/>
      </c>
      <c r="D22" s="533">
        <f>D20-D21</f>
        <v/>
      </c>
      <c r="E22" s="533">
        <f>E20-E21</f>
        <v/>
      </c>
      <c r="F22" s="533">
        <f>F20-F21</f>
        <v/>
      </c>
      <c r="G22" s="533">
        <f>G20-G21</f>
        <v/>
      </c>
      <c r="H22" s="533">
        <f>H20-H21</f>
        <v/>
      </c>
      <c r="I22" s="533">
        <f>I20-I21</f>
        <v/>
      </c>
      <c r="J22" s="533">
        <f>J20-J21</f>
        <v/>
      </c>
      <c r="K22" s="533">
        <f>K20-K21</f>
        <v/>
      </c>
      <c r="L22" s="533">
        <f>L20-L21</f>
        <v/>
      </c>
      <c r="M22" s="533">
        <f>M20-M21</f>
        <v/>
      </c>
    </row>
    <row r="23">
      <c r="A23" s="111" t="inlineStr">
        <is>
          <t>Margen neto %</t>
        </is>
      </c>
      <c r="C23" s="498">
        <f>C22/C8</f>
        <v/>
      </c>
      <c r="D23" s="498">
        <f>D22/D8</f>
        <v/>
      </c>
      <c r="E23" s="498">
        <f>E22/E8</f>
        <v/>
      </c>
      <c r="F23" s="498">
        <f>F22/F8</f>
        <v/>
      </c>
      <c r="G23" s="498">
        <f>G22/G8</f>
        <v/>
      </c>
      <c r="H23" s="498">
        <f>H22/H8</f>
        <v/>
      </c>
      <c r="I23" s="498">
        <f>I22/I8</f>
        <v/>
      </c>
      <c r="J23" s="498">
        <f>J22/J8</f>
        <v/>
      </c>
      <c r="K23" s="498">
        <f>K22/K8</f>
        <v/>
      </c>
      <c r="L23" s="498">
        <f>L22/L8</f>
        <v/>
      </c>
      <c r="M23" s="498">
        <f>M22/M8</f>
        <v/>
      </c>
    </row>
    <row r="24">
      <c r="A24" s="111" t="inlineStr">
        <is>
          <t>Acciones diluidas (M)</t>
        </is>
      </c>
      <c r="C24" s="535">
        <f>PyG!M27</f>
        <v/>
      </c>
      <c r="D24" s="536">
        <f>IF(D38&gt;0,C24+(D32+D39)/D38,C24)</f>
        <v/>
      </c>
      <c r="E24" s="536">
        <f>IF(E38&gt;0,D24+(E32+E39)/E38,D24)</f>
        <v/>
      </c>
      <c r="F24" s="536">
        <f>IF(F38&gt;0,E24+(F32+F39)/F38,E24)</f>
        <v/>
      </c>
      <c r="G24" s="536">
        <f>IF(G38&gt;0,F24+(G32+G39)/G38,F24)</f>
        <v/>
      </c>
      <c r="H24" s="536">
        <f>IF(H38&gt;0,G24+(H32+H39)/H38,G24)</f>
        <v/>
      </c>
      <c r="I24" s="536">
        <f>IF(I38&gt;0,H24+(I32+I39)/I38,H24)</f>
        <v/>
      </c>
      <c r="J24" s="536">
        <f>IF(J38&gt;0,I24+(J32+J39)/J38,I24)</f>
        <v/>
      </c>
      <c r="K24" s="536">
        <f>IF(K38&gt;0,J24+(K32+K39)/K38,J24)</f>
        <v/>
      </c>
      <c r="L24" s="536">
        <f>IF(L38&gt;0,K24+(L32+L39)/L38,K24)</f>
        <v/>
      </c>
      <c r="M24" s="536">
        <f>IF(M38&gt;0,L24+(M32+M39)/M38,L24)</f>
        <v/>
      </c>
    </row>
    <row r="25">
      <c r="A25" s="130" t="inlineStr">
        <is>
          <t>BPA diluido</t>
        </is>
      </c>
      <c r="C25" s="537">
        <f>PyG!M29</f>
        <v/>
      </c>
      <c r="D25" s="506">
        <f>D22/D24</f>
        <v/>
      </c>
      <c r="E25" s="506">
        <f>E22/E24</f>
        <v/>
      </c>
      <c r="F25" s="506">
        <f>F22/F24</f>
        <v/>
      </c>
      <c r="G25" s="506">
        <f>G22/G24</f>
        <v/>
      </c>
      <c r="H25" s="506">
        <f>H22/H24</f>
        <v/>
      </c>
      <c r="I25" s="506">
        <f>I22/I24</f>
        <v/>
      </c>
      <c r="J25" s="506">
        <f>J22/J24</f>
        <v/>
      </c>
      <c r="K25" s="506">
        <f>K22/K24</f>
        <v/>
      </c>
      <c r="L25" s="506">
        <f>L22/L24</f>
        <v/>
      </c>
      <c r="M25" s="506">
        <f>M22/M24</f>
        <v/>
      </c>
    </row>
    <row r="26">
      <c r="A26" s="111" t="inlineStr">
        <is>
          <t>Crecimiento del BPA</t>
        </is>
      </c>
      <c r="D26" s="498">
        <f>IF(C25&gt;0,D25/C25-1,0)</f>
        <v/>
      </c>
      <c r="E26" s="498">
        <f>IF(D25&gt;0,E25/D25-1,0)</f>
        <v/>
      </c>
      <c r="F26" s="498">
        <f>IF(E25&gt;0,F25/E25-1,0)</f>
        <v/>
      </c>
      <c r="G26" s="498">
        <f>IF(F25&gt;0,G25/F25-1,0)</f>
        <v/>
      </c>
      <c r="H26" s="498">
        <f>IF(G25&gt;0,H25/G25-1,0)</f>
        <v/>
      </c>
      <c r="I26" s="498">
        <f>IF(H25&gt;0,I25/H25-1,0)</f>
        <v/>
      </c>
      <c r="J26" s="498">
        <f>IF(I25&gt;0,J25/I25-1,0)</f>
        <v/>
      </c>
      <c r="K26" s="498">
        <f>IF(J25&gt;0,K25/J25-1,0)</f>
        <v/>
      </c>
      <c r="L26" s="498">
        <f>IF(K25&gt;0,L25/K25-1,0)</f>
        <v/>
      </c>
      <c r="M26" s="498">
        <f>IF(L25&gt;0,M25/L25-1,0)</f>
        <v/>
      </c>
    </row>
    <row r="27">
      <c r="A27" s="111" t="inlineStr">
        <is>
          <t>Dividendo por acción</t>
        </is>
      </c>
      <c r="C27" s="493">
        <f>ABS('Cash Flow'!M29)/C24</f>
        <v/>
      </c>
      <c r="D27" s="493">
        <f>MAX(D25,0)*Escenarios!$B$44</f>
        <v/>
      </c>
      <c r="E27" s="493">
        <f>MAX(E25,0)*Escenarios!$B$44</f>
        <v/>
      </c>
      <c r="F27" s="493">
        <f>MAX(F25,0)*Escenarios!$B$44</f>
        <v/>
      </c>
      <c r="G27" s="493">
        <f>MAX(G25,0)*Escenarios!$B$44</f>
        <v/>
      </c>
      <c r="H27" s="493">
        <f>MAX(H25,0)*Escenarios!$B$44</f>
        <v/>
      </c>
      <c r="I27" s="493">
        <f>MAX(I25,0)*Escenarios!$B$44</f>
        <v/>
      </c>
      <c r="J27" s="493">
        <f>MAX(J25,0)*Escenarios!$B$44</f>
        <v/>
      </c>
      <c r="K27" s="493">
        <f>MAX(K25,0)*Escenarios!$B$44</f>
        <v/>
      </c>
      <c r="L27" s="493">
        <f>MAX(L25,0)*Escenarios!$B$44</f>
        <v/>
      </c>
      <c r="M27" s="493">
        <f>MAX(M25,0)*Escenarios!$B$44</f>
        <v/>
      </c>
    </row>
    <row r="29">
      <c r="A29" s="119" t="inlineStr">
        <is>
          <t>FLUJO DE CAJA</t>
        </is>
      </c>
      <c r="B29" s="147" t="n"/>
      <c r="C29" s="147" t="n"/>
      <c r="D29" s="147" t="n"/>
      <c r="E29" s="147" t="n"/>
      <c r="F29" s="147" t="n"/>
      <c r="G29" s="147" t="n"/>
      <c r="H29" s="147" t="n"/>
      <c r="I29" s="147" t="n"/>
      <c r="J29" s="147" t="n"/>
      <c r="K29" s="147" t="n"/>
      <c r="L29" s="147" t="n"/>
      <c r="M29" s="147" t="n"/>
    </row>
    <row r="30">
      <c r="A30" s="111" t="inlineStr">
        <is>
          <t>Beneficio neto</t>
        </is>
      </c>
      <c r="C30" s="513">
        <f>C22</f>
        <v/>
      </c>
      <c r="D30" s="513">
        <f>D22</f>
        <v/>
      </c>
      <c r="E30" s="513">
        <f>E22</f>
        <v/>
      </c>
      <c r="F30" s="513">
        <f>F22</f>
        <v/>
      </c>
      <c r="G30" s="513">
        <f>G22</f>
        <v/>
      </c>
      <c r="H30" s="513">
        <f>H22</f>
        <v/>
      </c>
      <c r="I30" s="513">
        <f>I22</f>
        <v/>
      </c>
      <c r="J30" s="513">
        <f>J22</f>
        <v/>
      </c>
      <c r="K30" s="513">
        <f>K22</f>
        <v/>
      </c>
      <c r="L30" s="513">
        <f>L22</f>
        <v/>
      </c>
      <c r="M30" s="513">
        <f>M22</f>
        <v/>
      </c>
    </row>
    <row r="31">
      <c r="A31" s="111" t="inlineStr">
        <is>
          <t>Amortizaciones</t>
        </is>
      </c>
      <c r="C31" s="513">
        <f>C17</f>
        <v/>
      </c>
      <c r="D31" s="513">
        <f>D17</f>
        <v/>
      </c>
      <c r="E31" s="513">
        <f>E17</f>
        <v/>
      </c>
      <c r="F31" s="513">
        <f>F17</f>
        <v/>
      </c>
      <c r="G31" s="513">
        <f>G17</f>
        <v/>
      </c>
      <c r="H31" s="513">
        <f>H17</f>
        <v/>
      </c>
      <c r="I31" s="513">
        <f>I17</f>
        <v/>
      </c>
      <c r="J31" s="513">
        <f>J17</f>
        <v/>
      </c>
      <c r="K31" s="513">
        <f>K17</f>
        <v/>
      </c>
      <c r="L31" s="513">
        <f>L17</f>
        <v/>
      </c>
      <c r="M31" s="513">
        <f>M17</f>
        <v/>
      </c>
    </row>
    <row r="32">
      <c r="A32" s="111" t="inlineStr">
        <is>
          <t>Remuneración en acciones</t>
        </is>
      </c>
      <c r="C32" s="497">
        <f>'Cash Flow'!M33</f>
        <v/>
      </c>
      <c r="D32" s="497">
        <f>D8*Escenarios!$B$49</f>
        <v/>
      </c>
      <c r="E32" s="497">
        <f>E8*Escenarios!$B$49</f>
        <v/>
      </c>
      <c r="F32" s="497">
        <f>F8*Escenarios!$B$49</f>
        <v/>
      </c>
      <c r="G32" s="497">
        <f>G8*Escenarios!$B$49</f>
        <v/>
      </c>
      <c r="H32" s="497">
        <f>H8*Escenarios!$B$49</f>
        <v/>
      </c>
      <c r="I32" s="497">
        <f>I8*Escenarios!$B$49</f>
        <v/>
      </c>
      <c r="J32" s="497">
        <f>J8*Escenarios!$B$49</f>
        <v/>
      </c>
      <c r="K32" s="497">
        <f>K8*Escenarios!$B$49</f>
        <v/>
      </c>
      <c r="L32" s="497">
        <f>L8*Escenarios!$B$49</f>
        <v/>
      </c>
      <c r="M32" s="497">
        <f>M8*Escenarios!$B$49</f>
        <v/>
      </c>
    </row>
    <row r="33">
      <c r="A33" s="111" t="inlineStr">
        <is>
          <t>Variación del circulante</t>
        </is>
      </c>
      <c r="D33" s="513">
        <f>-(D46-C46)+(D50-C50)</f>
        <v/>
      </c>
      <c r="E33" s="513">
        <f>-(E46-D46)+(E50-D50)</f>
        <v/>
      </c>
      <c r="F33" s="513">
        <f>-(F46-E46)+(F50-E50)</f>
        <v/>
      </c>
      <c r="G33" s="513">
        <f>-(G46-F46)+(G50-F50)</f>
        <v/>
      </c>
      <c r="H33" s="513">
        <f>-(H46-G46)+(H50-G50)</f>
        <v/>
      </c>
      <c r="I33" s="513">
        <f>-(I46-H46)+(I50-H50)</f>
        <v/>
      </c>
      <c r="J33" s="513">
        <f>-(J46-I46)+(J50-I50)</f>
        <v/>
      </c>
      <c r="K33" s="513">
        <f>-(K46-J46)+(K50-J50)</f>
        <v/>
      </c>
      <c r="L33" s="513">
        <f>-(L46-K46)+(L50-K50)</f>
        <v/>
      </c>
      <c r="M33" s="513">
        <f>-(M46-L46)+(M50-L50)</f>
        <v/>
      </c>
    </row>
    <row r="34">
      <c r="A34" s="130" t="inlineStr">
        <is>
          <t>Flujo de caja operativo</t>
        </is>
      </c>
      <c r="C34" s="532">
        <f>'Cash Flow'!M15</f>
        <v/>
      </c>
      <c r="D34" s="533">
        <f>SUM(D30:D33)</f>
        <v/>
      </c>
      <c r="E34" s="533">
        <f>SUM(E30:E33)</f>
        <v/>
      </c>
      <c r="F34" s="533">
        <f>SUM(F30:F33)</f>
        <v/>
      </c>
      <c r="G34" s="533">
        <f>SUM(G30:G33)</f>
        <v/>
      </c>
      <c r="H34" s="533">
        <f>SUM(H30:H33)</f>
        <v/>
      </c>
      <c r="I34" s="533">
        <f>SUM(I30:I33)</f>
        <v/>
      </c>
      <c r="J34" s="533">
        <f>SUM(J30:J33)</f>
        <v/>
      </c>
      <c r="K34" s="533">
        <f>SUM(K30:K33)</f>
        <v/>
      </c>
      <c r="L34" s="533">
        <f>SUM(L30:L33)</f>
        <v/>
      </c>
      <c r="M34" s="533">
        <f>SUM(M30:M33)</f>
        <v/>
      </c>
    </row>
    <row r="35">
      <c r="A35" s="111" t="inlineStr">
        <is>
          <t>Capex</t>
        </is>
      </c>
      <c r="C35" s="497">
        <f>'Cash Flow'!M16</f>
        <v/>
      </c>
      <c r="D35" s="497">
        <f>-D8*Escenarios!$B$48</f>
        <v/>
      </c>
      <c r="E35" s="497">
        <f>-E8*Escenarios!$B$48</f>
        <v/>
      </c>
      <c r="F35" s="497">
        <f>-F8*Escenarios!$B$48</f>
        <v/>
      </c>
      <c r="G35" s="497">
        <f>-G8*Escenarios!$B$48</f>
        <v/>
      </c>
      <c r="H35" s="497">
        <f>-H8*Escenarios!$B$48</f>
        <v/>
      </c>
      <c r="I35" s="497">
        <f>-I8*Escenarios!$B$48</f>
        <v/>
      </c>
      <c r="J35" s="497">
        <f>-J8*Escenarios!$B$48</f>
        <v/>
      </c>
      <c r="K35" s="497">
        <f>-K8*Escenarios!$B$48</f>
        <v/>
      </c>
      <c r="L35" s="497">
        <f>-L8*Escenarios!$B$48</f>
        <v/>
      </c>
      <c r="M35" s="497">
        <f>-M8*Escenarios!$B$48</f>
        <v/>
      </c>
    </row>
    <row r="36">
      <c r="A36" s="130" t="inlineStr">
        <is>
          <t>Flujo de caja libre</t>
        </is>
      </c>
      <c r="C36" s="533">
        <f>C34+C35</f>
        <v/>
      </c>
      <c r="D36" s="533">
        <f>D34+D35</f>
        <v/>
      </c>
      <c r="E36" s="533">
        <f>E34+E35</f>
        <v/>
      </c>
      <c r="F36" s="533">
        <f>F34+F35</f>
        <v/>
      </c>
      <c r="G36" s="533">
        <f>G34+G35</f>
        <v/>
      </c>
      <c r="H36" s="533">
        <f>H34+H35</f>
        <v/>
      </c>
      <c r="I36" s="533">
        <f>I34+I35</f>
        <v/>
      </c>
      <c r="J36" s="533">
        <f>J34+J35</f>
        <v/>
      </c>
      <c r="K36" s="533">
        <f>K34+K35</f>
        <v/>
      </c>
      <c r="L36" s="533">
        <f>L34+L35</f>
        <v/>
      </c>
      <c r="M36" s="533">
        <f>M34+M35</f>
        <v/>
      </c>
    </row>
    <row r="37">
      <c r="A37" s="111" t="inlineStr">
        <is>
          <t>PER supuesto para las recompras</t>
        </is>
      </c>
      <c r="D37" s="499">
        <f>Escenarios!$B$13+(Escenarios!$E$77-Escenarios!$B$13)*(D$5-1)/9</f>
        <v/>
      </c>
      <c r="E37" s="499">
        <f>Escenarios!$B$13+(Escenarios!$E$77-Escenarios!$B$13)*(E$5-1)/9</f>
        <v/>
      </c>
      <c r="F37" s="499">
        <f>Escenarios!$B$13+(Escenarios!$E$77-Escenarios!$B$13)*(F$5-1)/9</f>
        <v/>
      </c>
      <c r="G37" s="499">
        <f>Escenarios!$B$13+(Escenarios!$E$77-Escenarios!$B$13)*(G$5-1)/9</f>
        <v/>
      </c>
      <c r="H37" s="499">
        <f>Escenarios!$B$13+(Escenarios!$E$77-Escenarios!$B$13)*(H$5-1)/9</f>
        <v/>
      </c>
      <c r="I37" s="499">
        <f>Escenarios!$B$13+(Escenarios!$E$77-Escenarios!$B$13)*(I$5-1)/9</f>
        <v/>
      </c>
      <c r="J37" s="499">
        <f>Escenarios!$B$13+(Escenarios!$E$77-Escenarios!$B$13)*(J$5-1)/9</f>
        <v/>
      </c>
      <c r="K37" s="499">
        <f>Escenarios!$B$13+(Escenarios!$E$77-Escenarios!$B$13)*(K$5-1)/9</f>
        <v/>
      </c>
      <c r="L37" s="499">
        <f>Escenarios!$B$13+(Escenarios!$E$77-Escenarios!$B$13)*(L$5-1)/9</f>
        <v/>
      </c>
      <c r="M37" s="499">
        <f>Escenarios!$B$13+(Escenarios!$E$77-Escenarios!$B$13)*(M$5-1)/9</f>
        <v/>
      </c>
    </row>
    <row r="38">
      <c r="A38" s="111" t="inlineStr">
        <is>
          <t>Precio supuesto para las recompras</t>
        </is>
      </c>
      <c r="D38" s="505">
        <f>MAX(C25,0)*D37</f>
        <v/>
      </c>
      <c r="E38" s="505">
        <f>MAX(D25,0)*E37</f>
        <v/>
      </c>
      <c r="F38" s="505">
        <f>MAX(E25,0)*F37</f>
        <v/>
      </c>
      <c r="G38" s="505">
        <f>MAX(F25,0)*G37</f>
        <v/>
      </c>
      <c r="H38" s="505">
        <f>MAX(G25,0)*H37</f>
        <v/>
      </c>
      <c r="I38" s="505">
        <f>MAX(H25,0)*I37</f>
        <v/>
      </c>
      <c r="J38" s="505">
        <f>MAX(I25,0)*J37</f>
        <v/>
      </c>
      <c r="K38" s="505">
        <f>MAX(J25,0)*K37</f>
        <v/>
      </c>
      <c r="L38" s="505">
        <f>MAX(K25,0)*L37</f>
        <v/>
      </c>
      <c r="M38" s="505">
        <f>MAX(L25,0)*M37</f>
        <v/>
      </c>
    </row>
    <row r="39">
      <c r="A39" s="111" t="inlineStr">
        <is>
          <t>Recompra de acciones</t>
        </is>
      </c>
      <c r="C39" s="497">
        <f>'Cash Flow'!M27</f>
        <v/>
      </c>
      <c r="D39" s="497">
        <f>-Escenarios!$E$76*MAX(D36-D22*Escenarios!$B$44,0)</f>
        <v/>
      </c>
      <c r="E39" s="497">
        <f>-Escenarios!$E$76*MAX(E36-E22*Escenarios!$B$44,0)</f>
        <v/>
      </c>
      <c r="F39" s="497">
        <f>-Escenarios!$E$76*MAX(F36-F22*Escenarios!$B$44,0)</f>
        <v/>
      </c>
      <c r="G39" s="497">
        <f>-Escenarios!$E$76*MAX(G36-G22*Escenarios!$B$44,0)</f>
        <v/>
      </c>
      <c r="H39" s="497">
        <f>-Escenarios!$E$76*MAX(H36-H22*Escenarios!$B$44,0)</f>
        <v/>
      </c>
      <c r="I39" s="497">
        <f>-Escenarios!$E$76*MAX(I36-I22*Escenarios!$B$44,0)</f>
        <v/>
      </c>
      <c r="J39" s="497">
        <f>-Escenarios!$E$76*MAX(J36-J22*Escenarios!$B$44,0)</f>
        <v/>
      </c>
      <c r="K39" s="497">
        <f>-Escenarios!$E$76*MAX(K36-K22*Escenarios!$B$44,0)</f>
        <v/>
      </c>
      <c r="L39" s="497">
        <f>-Escenarios!$E$76*MAX(L36-L22*Escenarios!$B$44,0)</f>
        <v/>
      </c>
      <c r="M39" s="497">
        <f>-Escenarios!$E$76*MAX(M36-M22*Escenarios!$B$44,0)</f>
        <v/>
      </c>
    </row>
    <row r="40">
      <c r="A40" s="111" t="inlineStr">
        <is>
          <t>Dividendos pagados</t>
        </is>
      </c>
      <c r="C40" s="497">
        <f>-ABS('Cash Flow'!M29)</f>
        <v/>
      </c>
      <c r="D40" s="497">
        <f>-D22*Escenarios!$B$44*(D22&gt;0)</f>
        <v/>
      </c>
      <c r="E40" s="497">
        <f>-E22*Escenarios!$B$44*(E22&gt;0)</f>
        <v/>
      </c>
      <c r="F40" s="497">
        <f>-F22*Escenarios!$B$44*(F22&gt;0)</f>
        <v/>
      </c>
      <c r="G40" s="497">
        <f>-G22*Escenarios!$B$44*(G22&gt;0)</f>
        <v/>
      </c>
      <c r="H40" s="497">
        <f>-H22*Escenarios!$B$44*(H22&gt;0)</f>
        <v/>
      </c>
      <c r="I40" s="497">
        <f>-I22*Escenarios!$B$44*(I22&gt;0)</f>
        <v/>
      </c>
      <c r="J40" s="497">
        <f>-J22*Escenarios!$B$44*(J22&gt;0)</f>
        <v/>
      </c>
      <c r="K40" s="497">
        <f>-K22*Escenarios!$B$44*(K22&gt;0)</f>
        <v/>
      </c>
      <c r="L40" s="497">
        <f>-L22*Escenarios!$B$44*(L22&gt;0)</f>
        <v/>
      </c>
      <c r="M40" s="497">
        <f>-M22*Escenarios!$B$44*(M22&gt;0)</f>
        <v/>
      </c>
    </row>
    <row r="41">
      <c r="A41" s="111" t="inlineStr">
        <is>
          <t>Variación de deuda</t>
        </is>
      </c>
      <c r="D41" s="513">
        <f>0</f>
        <v/>
      </c>
      <c r="E41" s="513">
        <f>0</f>
        <v/>
      </c>
      <c r="F41" s="513">
        <f>0</f>
        <v/>
      </c>
      <c r="G41" s="513">
        <f>0</f>
        <v/>
      </c>
      <c r="H41" s="513">
        <f>0</f>
        <v/>
      </c>
      <c r="I41" s="513">
        <f>0</f>
        <v/>
      </c>
      <c r="J41" s="513">
        <f>0</f>
        <v/>
      </c>
      <c r="K41" s="513">
        <f>0</f>
        <v/>
      </c>
      <c r="L41" s="513">
        <f>0</f>
        <v/>
      </c>
      <c r="M41" s="513">
        <f>0</f>
        <v/>
      </c>
    </row>
    <row r="42">
      <c r="A42" s="130" t="inlineStr">
        <is>
          <t>Variación de caja</t>
        </is>
      </c>
      <c r="C42" s="154" t="n"/>
      <c r="D42" s="533">
        <f>D36+D39+D40+D41</f>
        <v/>
      </c>
      <c r="E42" s="533">
        <f>E36+E39+E40+E41</f>
        <v/>
      </c>
      <c r="F42" s="533">
        <f>F36+F39+F40+F41</f>
        <v/>
      </c>
      <c r="G42" s="533">
        <f>G36+G39+G40+G41</f>
        <v/>
      </c>
      <c r="H42" s="533">
        <f>H36+H39+H40+H41</f>
        <v/>
      </c>
      <c r="I42" s="533">
        <f>I36+I39+I40+I41</f>
        <v/>
      </c>
      <c r="J42" s="533">
        <f>J36+J39+J40+J41</f>
        <v/>
      </c>
      <c r="K42" s="533">
        <f>K36+K39+K40+K41</f>
        <v/>
      </c>
      <c r="L42" s="533">
        <f>L36+L39+L40+L41</f>
        <v/>
      </c>
      <c r="M42" s="533">
        <f>M36+M39+M40+M41</f>
        <v/>
      </c>
    </row>
    <row r="44">
      <c r="A44" s="119" t="inlineStr">
        <is>
          <t>BALANCE</t>
        </is>
      </c>
      <c r="B44" s="147" t="n"/>
      <c r="C44" s="147" t="n"/>
      <c r="D44" s="147" t="n"/>
      <c r="E44" s="147" t="n"/>
      <c r="F44" s="147" t="n"/>
      <c r="G44" s="147" t="n"/>
      <c r="H44" s="147" t="n"/>
      <c r="I44" s="147" t="n"/>
      <c r="J44" s="147" t="n"/>
      <c r="K44" s="147" t="n"/>
      <c r="L44" s="147" t="n"/>
      <c r="M44" s="147" t="n"/>
    </row>
    <row r="45">
      <c r="A45" s="111" t="inlineStr">
        <is>
          <t>Caja e inversiones a corto</t>
        </is>
      </c>
      <c r="C45" s="497">
        <f>Balance!M5</f>
        <v/>
      </c>
      <c r="D45" s="513">
        <f>C45+D42</f>
        <v/>
      </c>
      <c r="E45" s="513">
        <f>D45+E42</f>
        <v/>
      </c>
      <c r="F45" s="513">
        <f>E45+F42</f>
        <v/>
      </c>
      <c r="G45" s="513">
        <f>F45+G42</f>
        <v/>
      </c>
      <c r="H45" s="513">
        <f>G45+H42</f>
        <v/>
      </c>
      <c r="I45" s="513">
        <f>H45+I42</f>
        <v/>
      </c>
      <c r="J45" s="513">
        <f>I45+J42</f>
        <v/>
      </c>
      <c r="K45" s="513">
        <f>J45+K42</f>
        <v/>
      </c>
      <c r="L45" s="513">
        <f>K45+L42</f>
        <v/>
      </c>
      <c r="M45" s="513">
        <f>L45+M42</f>
        <v/>
      </c>
    </row>
    <row r="46">
      <c r="A46" s="111" t="inlineStr">
        <is>
          <t>Activo circulante operativo</t>
        </is>
      </c>
      <c r="C46" s="497">
        <f>Balance!M6+Balance!M7+Balance!M8+Balance!M9</f>
        <v/>
      </c>
      <c r="D46" s="497">
        <f>D8*Escenarios!$B$51</f>
        <v/>
      </c>
      <c r="E46" s="497">
        <f>E8*Escenarios!$B$51</f>
        <v/>
      </c>
      <c r="F46" s="497">
        <f>F8*Escenarios!$B$51</f>
        <v/>
      </c>
      <c r="G46" s="497">
        <f>G8*Escenarios!$B$51</f>
        <v/>
      </c>
      <c r="H46" s="497">
        <f>H8*Escenarios!$B$51</f>
        <v/>
      </c>
      <c r="I46" s="497">
        <f>I8*Escenarios!$B$51</f>
        <v/>
      </c>
      <c r="J46" s="497">
        <f>J8*Escenarios!$B$51</f>
        <v/>
      </c>
      <c r="K46" s="497">
        <f>K8*Escenarios!$B$51</f>
        <v/>
      </c>
      <c r="L46" s="497">
        <f>L8*Escenarios!$B$51</f>
        <v/>
      </c>
      <c r="M46" s="497">
        <f>M8*Escenarios!$B$51</f>
        <v/>
      </c>
    </row>
    <row r="47">
      <c r="A47" s="111" t="inlineStr">
        <is>
          <t>Activo no corriente</t>
        </is>
      </c>
      <c r="C47" s="497">
        <f>Balance!M15</f>
        <v/>
      </c>
      <c r="D47" s="513">
        <f>C47-D35-D17</f>
        <v/>
      </c>
      <c r="E47" s="513">
        <f>D47-E35-E17</f>
        <v/>
      </c>
      <c r="F47" s="513">
        <f>E47-F35-F17</f>
        <v/>
      </c>
      <c r="G47" s="513">
        <f>F47-G35-G17</f>
        <v/>
      </c>
      <c r="H47" s="513">
        <f>G47-H35-H17</f>
        <v/>
      </c>
      <c r="I47" s="513">
        <f>H47-I35-I17</f>
        <v/>
      </c>
      <c r="J47" s="513">
        <f>I47-J35-J17</f>
        <v/>
      </c>
      <c r="K47" s="513">
        <f>J47-K35-K17</f>
        <v/>
      </c>
      <c r="L47" s="513">
        <f>K47-L35-L17</f>
        <v/>
      </c>
      <c r="M47" s="513">
        <f>L47-M35-M17</f>
        <v/>
      </c>
    </row>
    <row r="48">
      <c r="A48" s="130" t="inlineStr">
        <is>
          <t>Total activo</t>
        </is>
      </c>
      <c r="C48" s="533">
        <f>C45+C46+C47</f>
        <v/>
      </c>
      <c r="D48" s="533">
        <f>D45+D46+D47</f>
        <v/>
      </c>
      <c r="E48" s="533">
        <f>E45+E46+E47</f>
        <v/>
      </c>
      <c r="F48" s="533">
        <f>F45+F46+F47</f>
        <v/>
      </c>
      <c r="G48" s="533">
        <f>G45+G46+G47</f>
        <v/>
      </c>
      <c r="H48" s="533">
        <f>H45+H46+H47</f>
        <v/>
      </c>
      <c r="I48" s="533">
        <f>I45+I46+I47</f>
        <v/>
      </c>
      <c r="J48" s="533">
        <f>J45+J46+J47</f>
        <v/>
      </c>
      <c r="K48" s="533">
        <f>K45+K46+K47</f>
        <v/>
      </c>
      <c r="L48" s="533">
        <f>L45+L46+L47</f>
        <v/>
      </c>
      <c r="M48" s="533">
        <f>M45+M46+M47</f>
        <v/>
      </c>
    </row>
    <row r="50">
      <c r="A50" s="111" t="inlineStr">
        <is>
          <t>Pasivo circulante</t>
        </is>
      </c>
      <c r="C50" s="497">
        <f>Balance!M17</f>
        <v/>
      </c>
      <c r="D50" s="497">
        <f>D8*Escenarios!$B$52</f>
        <v/>
      </c>
      <c r="E50" s="497">
        <f>E8*Escenarios!$B$52</f>
        <v/>
      </c>
      <c r="F50" s="497">
        <f>F8*Escenarios!$B$52</f>
        <v/>
      </c>
      <c r="G50" s="497">
        <f>G8*Escenarios!$B$52</f>
        <v/>
      </c>
      <c r="H50" s="497">
        <f>H8*Escenarios!$B$52</f>
        <v/>
      </c>
      <c r="I50" s="497">
        <f>I8*Escenarios!$B$52</f>
        <v/>
      </c>
      <c r="J50" s="497">
        <f>J8*Escenarios!$B$52</f>
        <v/>
      </c>
      <c r="K50" s="497">
        <f>K8*Escenarios!$B$52</f>
        <v/>
      </c>
      <c r="L50" s="497">
        <f>L8*Escenarios!$B$52</f>
        <v/>
      </c>
      <c r="M50" s="497">
        <f>M8*Escenarios!$B$52</f>
        <v/>
      </c>
    </row>
    <row r="51">
      <c r="A51" s="111" t="inlineStr">
        <is>
          <t>Deuda a largo plazo</t>
        </is>
      </c>
      <c r="C51" s="497">
        <f>Balance!M18</f>
        <v/>
      </c>
      <c r="D51" s="513">
        <f>C51+D41</f>
        <v/>
      </c>
      <c r="E51" s="513">
        <f>D51+E41</f>
        <v/>
      </c>
      <c r="F51" s="513">
        <f>E51+F41</f>
        <v/>
      </c>
      <c r="G51" s="513">
        <f>F51+G41</f>
        <v/>
      </c>
      <c r="H51" s="513">
        <f>G51+H41</f>
        <v/>
      </c>
      <c r="I51" s="513">
        <f>H51+I41</f>
        <v/>
      </c>
      <c r="J51" s="513">
        <f>I51+J41</f>
        <v/>
      </c>
      <c r="K51" s="513">
        <f>J51+K41</f>
        <v/>
      </c>
      <c r="L51" s="513">
        <f>K51+L41</f>
        <v/>
      </c>
      <c r="M51" s="513">
        <f>L51+M41</f>
        <v/>
      </c>
    </row>
    <row r="52">
      <c r="A52" s="111" t="inlineStr">
        <is>
          <t>Otros pasivos a largo plazo</t>
        </is>
      </c>
      <c r="C52" s="497">
        <f>Balance!M20-Balance!M18</f>
        <v/>
      </c>
      <c r="D52" s="513">
        <f>C52</f>
        <v/>
      </c>
      <c r="E52" s="513">
        <f>D52</f>
        <v/>
      </c>
      <c r="F52" s="513">
        <f>E52</f>
        <v/>
      </c>
      <c r="G52" s="513">
        <f>F52</f>
        <v/>
      </c>
      <c r="H52" s="513">
        <f>G52</f>
        <v/>
      </c>
      <c r="I52" s="513">
        <f>H52</f>
        <v/>
      </c>
      <c r="J52" s="513">
        <f>I52</f>
        <v/>
      </c>
      <c r="K52" s="513">
        <f>J52</f>
        <v/>
      </c>
      <c r="L52" s="513">
        <f>K52</f>
        <v/>
      </c>
      <c r="M52" s="513">
        <f>L52</f>
        <v/>
      </c>
    </row>
    <row r="53">
      <c r="A53" s="111" t="inlineStr">
        <is>
          <t>Patrimonio neto</t>
        </is>
      </c>
      <c r="C53" s="497">
        <f>Balance!M26</f>
        <v/>
      </c>
      <c r="D53" s="513">
        <f>C53+D22+D32+D39+D40</f>
        <v/>
      </c>
      <c r="E53" s="513">
        <f>D53+E22+E32+E39+E40</f>
        <v/>
      </c>
      <c r="F53" s="513">
        <f>E53+F22+F32+F39+F40</f>
        <v/>
      </c>
      <c r="G53" s="513">
        <f>F53+G22+G32+G39+G40</f>
        <v/>
      </c>
      <c r="H53" s="513">
        <f>G53+H22+H32+H39+H40</f>
        <v/>
      </c>
      <c r="I53" s="513">
        <f>H53+I22+I32+I39+I40</f>
        <v/>
      </c>
      <c r="J53" s="513">
        <f>I53+J22+J32+J39+J40</f>
        <v/>
      </c>
      <c r="K53" s="513">
        <f>J53+K22+K32+K39+K40</f>
        <v/>
      </c>
      <c r="L53" s="513">
        <f>K53+L22+L32+L39+L40</f>
        <v/>
      </c>
      <c r="M53" s="513">
        <f>L53+M22+M32+M39+M40</f>
        <v/>
      </c>
    </row>
    <row r="54">
      <c r="A54" s="130" t="inlineStr">
        <is>
          <t>Total pasivo y patrimonio</t>
        </is>
      </c>
      <c r="C54" s="533">
        <f>C50+C51+C52+C53</f>
        <v/>
      </c>
      <c r="D54" s="533">
        <f>D50+D51+D52+D53</f>
        <v/>
      </c>
      <c r="E54" s="533">
        <f>E50+E51+E52+E53</f>
        <v/>
      </c>
      <c r="F54" s="533">
        <f>F50+F51+F52+F53</f>
        <v/>
      </c>
      <c r="G54" s="533">
        <f>G50+G51+G52+G53</f>
        <v/>
      </c>
      <c r="H54" s="533">
        <f>H50+H51+H52+H53</f>
        <v/>
      </c>
      <c r="I54" s="533">
        <f>I50+I51+I52+I53</f>
        <v/>
      </c>
      <c r="J54" s="533">
        <f>J50+J51+J52+J53</f>
        <v/>
      </c>
      <c r="K54" s="533">
        <f>K50+K51+K52+K53</f>
        <v/>
      </c>
      <c r="L54" s="533">
        <f>L50+L51+L52+L53</f>
        <v/>
      </c>
      <c r="M54" s="533">
        <f>M50+M51+M52+M53</f>
        <v/>
      </c>
    </row>
    <row r="55">
      <c r="A55" s="111" t="inlineStr">
        <is>
          <t>Comprobación (debe ser 0)</t>
        </is>
      </c>
      <c r="C55" s="513">
        <f>ROUND(C48-C54,3)</f>
        <v/>
      </c>
      <c r="D55" s="513">
        <f>ROUND(D48-D54,3)</f>
        <v/>
      </c>
      <c r="E55" s="513">
        <f>ROUND(E48-E54,3)</f>
        <v/>
      </c>
      <c r="F55" s="513">
        <f>ROUND(F48-F54,3)</f>
        <v/>
      </c>
      <c r="G55" s="513">
        <f>ROUND(G48-G54,3)</f>
        <v/>
      </c>
      <c r="H55" s="513">
        <f>ROUND(H48-H54,3)</f>
        <v/>
      </c>
      <c r="I55" s="513">
        <f>ROUND(I48-I54,3)</f>
        <v/>
      </c>
      <c r="J55" s="513">
        <f>ROUND(J48-J54,3)</f>
        <v/>
      </c>
      <c r="K55" s="513">
        <f>ROUND(K48-K54,3)</f>
        <v/>
      </c>
      <c r="L55" s="513">
        <f>ROUND(L48-L54,3)</f>
        <v/>
      </c>
      <c r="M55" s="513">
        <f>ROUND(M48-M54,3)</f>
        <v/>
      </c>
    </row>
    <row r="57">
      <c r="A57" s="119" t="inlineStr">
        <is>
          <t>RATIOS</t>
        </is>
      </c>
      <c r="B57" s="147" t="n"/>
      <c r="C57" s="147" t="n"/>
      <c r="D57" s="147" t="n"/>
      <c r="E57" s="147" t="n"/>
      <c r="F57" s="147" t="n"/>
      <c r="G57" s="147" t="n"/>
      <c r="H57" s="147" t="n"/>
      <c r="I57" s="147" t="n"/>
      <c r="J57" s="147" t="n"/>
      <c r="K57" s="147" t="n"/>
      <c r="L57" s="147" t="n"/>
      <c r="M57" s="147" t="n"/>
    </row>
    <row r="58">
      <c r="A58" s="119" t="inlineStr">
        <is>
          <t>ROE</t>
        </is>
      </c>
      <c r="B58" s="147" t="n"/>
      <c r="C58" s="538">
        <f>C22/C53</f>
        <v/>
      </c>
      <c r="D58" s="538">
        <f>IFERROR(D22/AVERAGE(C53,D53),0)</f>
        <v/>
      </c>
      <c r="E58" s="538">
        <f>IFERROR(E22/AVERAGE(D53,E53),0)</f>
        <v/>
      </c>
      <c r="F58" s="538">
        <f>IFERROR(F22/AVERAGE(E53,F53),0)</f>
        <v/>
      </c>
      <c r="G58" s="538">
        <f>IFERROR(G22/AVERAGE(F53,G53),0)</f>
        <v/>
      </c>
      <c r="H58" s="538">
        <f>IFERROR(H22/AVERAGE(G53,H53),0)</f>
        <v/>
      </c>
      <c r="I58" s="538">
        <f>IFERROR(I22/AVERAGE(H53,I53),0)</f>
        <v/>
      </c>
      <c r="J58" s="538">
        <f>IFERROR(J22/AVERAGE(I53,J53),0)</f>
        <v/>
      </c>
      <c r="K58" s="538">
        <f>IFERROR(K22/AVERAGE(J53,K53),0)</f>
        <v/>
      </c>
      <c r="L58" s="538">
        <f>IFERROR(L22/AVERAGE(K53,L53),0)</f>
        <v/>
      </c>
      <c r="M58" s="538">
        <f>IFERROR(M22/AVERAGE(L53,M53),0)</f>
        <v/>
      </c>
    </row>
    <row r="59">
      <c r="A59" s="111" t="inlineStr">
        <is>
          <t>Valor contable por acción</t>
        </is>
      </c>
      <c r="C59" s="505">
        <f>C53/C24</f>
        <v/>
      </c>
      <c r="D59" s="505">
        <f>D53/D24</f>
        <v/>
      </c>
      <c r="E59" s="505">
        <f>E53/E24</f>
        <v/>
      </c>
      <c r="F59" s="505">
        <f>F53/F24</f>
        <v/>
      </c>
      <c r="G59" s="505">
        <f>G53/G24</f>
        <v/>
      </c>
      <c r="H59" s="505">
        <f>H53/H24</f>
        <v/>
      </c>
      <c r="I59" s="505">
        <f>I53/I24</f>
        <v/>
      </c>
      <c r="J59" s="505">
        <f>J53/J24</f>
        <v/>
      </c>
      <c r="K59" s="505">
        <f>K53/K24</f>
        <v/>
      </c>
      <c r="L59" s="505">
        <f>L53/L24</f>
        <v/>
      </c>
      <c r="M59" s="505">
        <f>M53/M24</f>
        <v/>
      </c>
    </row>
    <row r="60">
      <c r="A60" s="111" t="inlineStr">
        <is>
          <t>Deuda neta / EBITDA</t>
        </is>
      </c>
      <c r="C60" s="510">
        <f>IF(C18&gt;0,(C51-C45)/C18,"n.a.")</f>
        <v/>
      </c>
      <c r="D60" s="510">
        <f>IF(D18&gt;0,(D51-D45)/D18,"n.a.")</f>
        <v/>
      </c>
      <c r="E60" s="510">
        <f>IF(E18&gt;0,(E51-E45)/E18,"n.a.")</f>
        <v/>
      </c>
      <c r="F60" s="510">
        <f>IF(F18&gt;0,(F51-F45)/F18,"n.a.")</f>
        <v/>
      </c>
      <c r="G60" s="510">
        <f>IF(G18&gt;0,(G51-G45)/G18,"n.a.")</f>
        <v/>
      </c>
      <c r="H60" s="510">
        <f>IF(H18&gt;0,(H51-H45)/H18,"n.a.")</f>
        <v/>
      </c>
      <c r="I60" s="510">
        <f>IF(I18&gt;0,(I51-I45)/I18,"n.a.")</f>
        <v/>
      </c>
      <c r="J60" s="510">
        <f>IF(J18&gt;0,(J51-J45)/J18,"n.a.")</f>
        <v/>
      </c>
      <c r="K60" s="510">
        <f>IF(K18&gt;0,(K51-K45)/K18,"n.a.")</f>
        <v/>
      </c>
      <c r="L60" s="510">
        <f>IF(L18&gt;0,(L51-L45)/L18,"n.a.")</f>
        <v/>
      </c>
      <c r="M60" s="510">
        <f>IF(M18&gt;0,(M51-M45)/M18,"n.a.")</f>
        <v/>
      </c>
    </row>
    <row r="61">
      <c r="A61" s="111" t="inlineStr">
        <is>
          <t>Flujo de caja libre por acción</t>
        </is>
      </c>
      <c r="C61" s="505">
        <f>C36/C24</f>
        <v/>
      </c>
      <c r="D61" s="505">
        <f>D36/D24</f>
        <v/>
      </c>
      <c r="E61" s="505">
        <f>E36/E24</f>
        <v/>
      </c>
      <c r="F61" s="505">
        <f>F36/F24</f>
        <v/>
      </c>
      <c r="G61" s="505">
        <f>G36/G24</f>
        <v/>
      </c>
      <c r="H61" s="505">
        <f>H36/H24</f>
        <v/>
      </c>
      <c r="I61" s="505">
        <f>I36/I24</f>
        <v/>
      </c>
      <c r="J61" s="505">
        <f>J36/J24</f>
        <v/>
      </c>
      <c r="K61" s="505">
        <f>K36/K24</f>
        <v/>
      </c>
      <c r="L61" s="505">
        <f>L36/L24</f>
        <v/>
      </c>
      <c r="M61" s="505">
        <f>M36/M24</f>
        <v/>
      </c>
    </row>
    <row r="62" ht="15.75" customHeight="1" s="377" thickBot="1">
      <c r="A62" s="196" t="inlineStr">
        <is>
          <t>Variación de acciones en el año</t>
        </is>
      </c>
      <c r="B62" s="197" t="n"/>
      <c r="C62" s="198">
        <f>PyG!M27/PyG!L27-1</f>
        <v/>
      </c>
      <c r="D62" s="199">
        <f>D24/C24-1</f>
        <v/>
      </c>
      <c r="E62" s="199">
        <f>E24/D24-1</f>
        <v/>
      </c>
      <c r="F62" s="199">
        <f>F24/E24-1</f>
        <v/>
      </c>
      <c r="G62" s="199">
        <f>G24/F24-1</f>
        <v/>
      </c>
      <c r="H62" s="199">
        <f>H24/G24-1</f>
        <v/>
      </c>
      <c r="I62" s="199">
        <f>I24/H24-1</f>
        <v/>
      </c>
      <c r="J62" s="199">
        <f>J24/I24-1</f>
        <v/>
      </c>
      <c r="K62" s="199">
        <f>K24/J24-1</f>
        <v/>
      </c>
      <c r="L62" s="199">
        <f>L24/K24-1</f>
        <v/>
      </c>
      <c r="M62" s="199">
        <f>M24/L24-1</f>
        <v/>
      </c>
    </row>
    <row r="63" ht="15.75" customHeight="1" s="377" thickTop="1"/>
    <row r="64">
      <c r="A64" s="108" t="inlineStr">
        <is>
          <t>Recompras: la parte del flujo de caja libre (después de dividendos) que indica el escenario. Las acciones bajan en lo recomprado y suben en la remuneración en acciones, al precio que resulta del BPA del año anterior y de un PER que pasa del actual al de salida.</t>
        </is>
      </c>
    </row>
    <row r="65">
      <c r="A65" s="108" t="inlineStr">
        <is>
          <t>Márgenes: pasan en línea recta del último real al del escenario en los años indicados en «Escenarios». El activo no corriente crece con el capex y baja con las amortizaciones. La caja cuadra el balance.</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44"/>
  <sheetViews>
    <sheetView zoomScaleNormal="100" workbookViewId="0">
      <selection activeCell="A1" sqref="A1"/>
    </sheetView>
  </sheetViews>
  <sheetFormatPr baseColWidth="10" defaultColWidth="8.5703125" defaultRowHeight="15"/>
  <sheetData>
    <row r="1">
      <c r="A1" s="130" t="inlineStr">
        <is>
          <t>Pregunta del Examen</t>
        </is>
      </c>
      <c r="B1" s="130" t="inlineStr">
        <is>
          <t>Opción 1 (1 punto)</t>
        </is>
      </c>
      <c r="C1" s="130" t="inlineStr">
        <is>
          <t>Opción 2 (2 puntos)</t>
        </is>
      </c>
      <c r="D1" s="130" t="inlineStr">
        <is>
          <t>Opción 3 (3 puntos)</t>
        </is>
      </c>
      <c r="H1" s="130" t="inlineStr">
        <is>
          <t>Fases</t>
        </is>
      </c>
    </row>
    <row r="2">
      <c r="A2" s="111" t="inlineStr">
        <is>
          <t>¿Tiene la empresa un monopolio del consumidor fácilmente identificable?</t>
        </is>
      </c>
      <c r="B2" s="111" t="inlineStr">
        <is>
          <t>Marca conocida pero con competencia</t>
        </is>
      </c>
      <c r="C2" s="111" t="inlineStr">
        <is>
          <t>Marca conocida y poca competencia</t>
        </is>
      </c>
      <c r="D2" s="111" t="inlineStr">
        <is>
          <t>Marca conocida con clientes cautivos (barreras de salida)</t>
        </is>
      </c>
      <c r="H2" s="111" t="inlineStr">
        <is>
          <t>Crecimiento</t>
        </is>
      </c>
    </row>
    <row r="3">
      <c r="A3" s="111" t="inlineStr">
        <is>
          <t>¿Es el I+D fundamental para el crecimiento?</t>
        </is>
      </c>
      <c r="B3" s="111" t="inlineStr">
        <is>
          <t>Totalmente esencial</t>
        </is>
      </c>
      <c r="C3" s="111" t="inlineStr">
        <is>
          <t>Necesario para mantenerse</t>
        </is>
      </c>
      <c r="D3" s="111" t="inlineStr">
        <is>
          <t>No esencial pero aporta valor</t>
        </is>
      </c>
      <c r="H3" s="111" t="inlineStr">
        <is>
          <t>Madurez</t>
        </is>
      </c>
    </row>
    <row r="4">
      <c r="A4" s="111" t="inlineStr">
        <is>
          <t>¿Puede ajustar precios según la inflación?</t>
        </is>
      </c>
      <c r="B4" s="111" t="inlineStr">
        <is>
          <t>No, compite por precio</t>
        </is>
      </c>
      <c r="C4" s="111" t="inlineStr">
        <is>
          <t>Limitadamente</t>
        </is>
      </c>
      <c r="D4" s="111" t="inlineStr">
        <is>
          <t>Sí, total pricing power</t>
        </is>
      </c>
      <c r="H4" s="111" t="inlineStr">
        <is>
          <t>Estancamiento</t>
        </is>
      </c>
    </row>
    <row r="5">
      <c r="A5" s="111" t="inlineStr">
        <is>
          <t>¿Tiene poder de compra frente a proveedores?</t>
        </is>
      </c>
      <c r="B5" s="111" t="inlineStr">
        <is>
          <t>No, proveedores dominantes</t>
        </is>
      </c>
      <c r="C5" s="111" t="inlineStr">
        <is>
          <t>Tiene alternativas pero sin poder de negociación</t>
        </is>
      </c>
      <c r="D5" s="111" t="inlineStr">
        <is>
          <t>Sí, fuerte poder de compra</t>
        </is>
      </c>
      <c r="H5" s="111" t="inlineStr">
        <is>
          <t>Declive</t>
        </is>
      </c>
    </row>
    <row r="6">
      <c r="A6" s="111" t="inlineStr">
        <is>
          <t>¿Tiene poder de fijación de precios frente a clientes?</t>
        </is>
      </c>
      <c r="B6" s="111" t="inlineStr">
        <is>
          <t>No, clientes dominan</t>
        </is>
      </c>
      <c r="C6" s="111" t="inlineStr">
        <is>
          <t>Sí, por diferenciación</t>
        </is>
      </c>
      <c r="D6" s="111" t="inlineStr">
        <is>
          <t>Sí, casi sin competencia</t>
        </is>
      </c>
      <c r="H6" s="111" t="inlineStr">
        <is>
          <t>Cíclica</t>
        </is>
      </c>
    </row>
    <row r="7">
      <c r="A7" s="111" t="inlineStr">
        <is>
          <t>¿Existen productos sustitutivos en recesión?</t>
        </is>
      </c>
      <c r="B7" s="111" t="inlineStr">
        <is>
          <t>Sí, muchos</t>
        </is>
      </c>
      <c r="C7" s="111" t="inlineStr">
        <is>
          <t>Algunos pero diferenciados</t>
        </is>
      </c>
      <c r="D7" s="111" t="inlineStr">
        <is>
          <t>No, valor añadido muy alto</t>
        </is>
      </c>
      <c r="H7" s="111" t="inlineStr">
        <is>
          <t>Recuperación</t>
        </is>
      </c>
    </row>
    <row r="8">
      <c r="A8" s="111" t="inlineStr">
        <is>
          <t>¿Ofrece la empresa productos o servicios con el suficiente potencial comercial como para hacer posible un incremento considerable de las ventas durante al menos varios años?</t>
        </is>
      </c>
      <c r="B8" s="111" t="inlineStr">
        <is>
          <t>No, los productos actuales están llegando a su madurez.</t>
        </is>
      </c>
      <c r="C8" s="111" t="inlineStr">
        <is>
          <t>Sí, pero requieren innovación o expansión geográfica para sostener el crecimiento.</t>
        </is>
      </c>
      <c r="D8" s="111" t="inlineStr">
        <is>
          <t>Sí, los productos tienen largo recorrido y existen nuevas categorías con potencial.</t>
        </is>
      </c>
    </row>
    <row r="9">
      <c r="A9" s="111" t="inlineStr">
        <is>
          <t>¿Está la dirección decidida a desarrollar productos o procesos que sigan aumentando las ventas cuando las líneas actuales se saturen?</t>
        </is>
      </c>
      <c r="B9" s="111" t="inlineStr">
        <is>
          <t>No, la empresa se apoya en su catálogo actual sin un plan claro de innovación.</t>
        </is>
      </c>
      <c r="C9" s="111" t="inlineStr">
        <is>
          <t>Moderadamente, hay nuevos proyectos pero sin una estrategia definida.</t>
        </is>
      </c>
      <c r="D9" s="111" t="inlineStr">
        <is>
          <t>Sí, existe una política activa de desarrollo continuo de nuevos productos y procesos.</t>
        </is>
      </c>
    </row>
    <row r="10">
      <c r="A10" s="111" t="inlineStr">
        <is>
          <t>¿Cuánto tiempo llevan los directores en la compañía? ¿Existe un líder clave?</t>
        </is>
      </c>
      <c r="B10" s="111" t="inlineStr">
        <is>
          <t>Alta rotación o liderazgo inestable.</t>
        </is>
      </c>
      <c r="C10" s="111" t="inlineStr">
        <is>
          <t>Equipo con cierta continuidad pero sin Massia</t>
        </is>
      </c>
      <c r="D10" s="111" t="inlineStr">
        <is>
          <t>Dirección estable, con liderazgo claro y trayectoria demostrada In-house.</t>
        </is>
      </c>
    </row>
    <row r="11">
      <c r="A11" s="111" t="inlineStr">
        <is>
          <t>¿Tiene la empresa un equipo directivo con una integridad incuestionable, transparencia y velando por los accionistas?</t>
        </is>
      </c>
      <c r="B11" s="111" t="inlineStr">
        <is>
          <t>Dudas sobre la transparencia o el gobierno corporativo.</t>
        </is>
      </c>
      <c r="C11" s="111" t="inlineStr">
        <is>
          <t>Integridad razonable pero con áreas mejorables.</t>
        </is>
      </c>
      <c r="D11" s="111" t="inlineStr">
        <is>
          <t>Alta integridad y alineación con los accionistas.</t>
        </is>
      </c>
    </row>
    <row r="12">
      <c r="A12" s="111" t="inlineStr">
        <is>
          <t>¿Es la estrategia de marketing vital, innovadora y efectiva para el negocio?</t>
        </is>
      </c>
      <c r="B12" s="111" t="inlineStr">
        <is>
          <t>Estrategia convencional, sin diferenciación.</t>
        </is>
      </c>
      <c r="C12" s="111" t="inlineStr">
        <is>
          <t>Estrategia sólida pero poco innovadora.</t>
        </is>
      </c>
      <c r="D12" s="111" t="inlineStr">
        <is>
          <t>Estrategia claramente diferenciada e innovadora, con impacto demostrado.</t>
        </is>
      </c>
    </row>
    <row r="13">
      <c r="A13" s="111" t="inlineStr">
        <is>
          <t>¿Previsión a corto o a largo plazo en relación con los beneficios?</t>
        </is>
      </c>
      <c r="B13" s="111" t="inlineStr">
        <is>
          <t>Enfoque cortoplacista, centrado en resultados inmediatos.</t>
        </is>
      </c>
      <c r="C13" s="111" t="inlineStr">
        <is>
          <t>Combina visión a corto y largo plazo sin una hoja de ruta clara.</t>
        </is>
      </c>
      <c r="D13" s="111" t="inlineStr">
        <is>
          <t>Estrategia orientada al largo plazo, con objetivos definidos y consistentes.</t>
        </is>
      </c>
    </row>
    <row r="14">
      <c r="A14" s="111" t="inlineStr">
        <is>
          <t>¿Requerirá el crecimiento futuro de la empresa nuevas ampliaciones de capital?</t>
        </is>
      </c>
      <c r="B14" s="111" t="inlineStr">
        <is>
          <t>Sí, el crecimiento depende de financiación externa o emisiones.</t>
        </is>
      </c>
      <c r="C14" s="111" t="inlineStr">
        <is>
          <t>Puede requerir financiación puntual o deuda moderada.</t>
        </is>
      </c>
      <c r="D14" s="111" t="inlineStr">
        <is>
          <t>No, el crecimiento es autofinanciado mediante generación de caja.</t>
        </is>
      </c>
    </row>
    <row r="15">
      <c r="A15" s="111" t="inlineStr">
        <is>
          <t>¿Han sido capaces de cumplir con objetivos pasados?</t>
        </is>
      </c>
      <c r="B15" s="111" t="inlineStr">
        <is>
          <t>No, y no han rectificado expectativas</t>
        </is>
      </c>
      <c r="C15" s="111" t="inlineStr">
        <is>
          <t>Se han quedado cerca, analizado el motivo y rectificado</t>
        </is>
      </c>
      <c r="D15" s="111" t="inlineStr">
        <is>
          <t>Si, cumplen su plan de crecimiento.</t>
        </is>
      </c>
    </row>
    <row r="16">
      <c r="A16" s="111" t="inlineStr">
        <is>
          <t>¿Son los valores corporativos auténticos o una simple herramienta de marketing?</t>
        </is>
      </c>
      <c r="B16" s="111" t="inlineStr">
        <is>
          <t>Valores principalmente cosméticos o inconsistentes con las acciones.</t>
        </is>
      </c>
      <c r="C16" s="111" t="inlineStr">
        <is>
          <t>Mezcla de comunicación y realidad empresarial.</t>
        </is>
      </c>
      <c r="D16" s="111" t="inlineStr">
        <is>
          <t>Valores auténticos e integrados en la cultura corporativa.</t>
        </is>
      </c>
    </row>
    <row r="17">
      <c r="A17" s="111" t="inlineStr">
        <is>
          <t>¿Se preocupa la empresa por sus trabajadores?</t>
        </is>
      </c>
      <c r="B17" s="111" t="inlineStr">
        <is>
          <t>Alta rotación o mala reputación laboral.</t>
        </is>
      </c>
      <c r="C17" s="111" t="inlineStr">
        <is>
          <t>Políticas laborales aceptables pero sin programas destacados.</t>
        </is>
      </c>
      <c r="D17" s="111" t="inlineStr">
        <is>
          <t>Alta satisfacción, retención y desarrollo interno del talento.</t>
        </is>
      </c>
    </row>
    <row r="18">
      <c r="A18" s="111" t="inlineStr">
        <is>
          <t>¿Busca la empresa equilibrar rentabilidad económica y beneficio social?</t>
        </is>
      </c>
      <c r="B18" s="111" t="inlineStr">
        <is>
          <t>Enfocada únicamente en el beneficio financiero.</t>
        </is>
      </c>
      <c r="C18" s="111" t="inlineStr">
        <is>
          <t>Tiene iniciativas sociales puntuales sin impacto significativo.</t>
        </is>
      </c>
      <c r="D18" s="111" t="inlineStr">
        <is>
          <t>Integra sostenibilidad y propósito social en su modelo de negocio.</t>
        </is>
      </c>
    </row>
    <row r="19">
      <c r="A19" s="111" t="inlineStr">
        <is>
          <t>¿Existen barreras de entrada o ventajas competitivas estructurales en su sector?</t>
        </is>
      </c>
      <c r="B19" s="111" t="inlineStr">
        <is>
          <t>Mercado abierto, fácil entrada de competidores.</t>
        </is>
      </c>
      <c r="C19" s="111" t="inlineStr">
        <is>
          <t>Algunas barreras, principalmente de marca o distribución.</t>
        </is>
      </c>
      <c r="D19" s="111" t="inlineStr">
        <is>
          <t>Altas barreras tecnológicas, de marca o capital intensivo.</t>
        </is>
      </c>
    </row>
    <row r="20">
      <c r="A20" s="111" t="inlineStr">
        <is>
          <t>¿Por qué es mejor que la competencia?</t>
        </is>
      </c>
      <c r="B20" s="111" t="inlineStr">
        <is>
          <t>Tiene ventajas parciales, pero comparables a sus rivales.</t>
        </is>
      </c>
      <c r="C20" s="111" t="inlineStr">
        <is>
          <t>Posee ventajas sostenibles y diferenciales claras frente a la competencia.</t>
        </is>
      </c>
      <c r="D20" s="111" t="inlineStr">
        <is>
          <t>No tiene competencia comparable.</t>
        </is>
      </c>
    </row>
    <row r="21">
      <c r="A21" s="111" t="inlineStr">
        <is>
          <t>¿Es un sector intensivo en capital? (CAPEX)</t>
        </is>
      </c>
      <c r="B21" s="111" t="inlineStr">
        <is>
          <t>Sí, requiere inversión constante</t>
        </is>
      </c>
      <c r="C21" s="111" t="inlineStr">
        <is>
          <t>Moderado</t>
        </is>
      </c>
      <c r="D21" s="111" t="inlineStr">
        <is>
          <t>No, depende de conocimiento o creatividad</t>
        </is>
      </c>
    </row>
    <row r="22">
      <c r="A22" s="111" t="inlineStr">
        <is>
          <t>Calidad del crecimiento de ingresos</t>
        </is>
      </c>
      <c r="B22" s="111" t="inlineStr">
        <is>
          <t>Crecimiento errático, cíclico o puntual</t>
        </is>
      </c>
      <c r="C22" s="111" t="inlineStr">
        <is>
          <t>Crecimiento relativamente estable, con componentes estructurales y coyunturales</t>
        </is>
      </c>
      <c r="D22" s="111" t="inlineStr">
        <is>
          <t>Crecimiento consistente, orgánico y apoyado en demanda recurrente o clara expansión de mercado.</t>
        </is>
      </c>
    </row>
    <row r="23">
      <c r="A23" s="111" t="inlineStr">
        <is>
          <t>Defensabilidad del margen bruto</t>
        </is>
      </c>
      <c r="B23" s="111" t="inlineStr">
        <is>
          <t>Margen presionable</t>
        </is>
      </c>
      <c r="C23" s="111" t="inlineStr">
        <is>
          <t>Margen razonable</t>
        </is>
      </c>
      <c r="D23" s="111" t="inlineStr">
        <is>
          <t>Margen defensable</t>
        </is>
      </c>
    </row>
    <row r="24">
      <c r="A24" s="111" t="inlineStr">
        <is>
          <t>Flexibilidad de la estructura de costes</t>
        </is>
      </c>
      <c r="B24" s="111" t="inlineStr">
        <is>
          <t>Costes rígidos</t>
        </is>
      </c>
      <c r="C24" s="111" t="inlineStr">
        <is>
          <t>Costes mixtos</t>
        </is>
      </c>
      <c r="D24" s="111" t="inlineStr">
        <is>
          <t>Costes flexibles</t>
        </is>
      </c>
    </row>
    <row r="25">
      <c r="A25" s="111" t="inlineStr">
        <is>
          <t>Margen de beneficio neto</t>
        </is>
      </c>
      <c r="B25" s="111" t="inlineStr">
        <is>
          <t>Margen neto &lt; 15%</t>
        </is>
      </c>
      <c r="C25" s="111" t="inlineStr">
        <is>
          <t>Margen neto entre 15% y 30%</t>
        </is>
      </c>
      <c r="D25" s="111" t="inlineStr">
        <is>
          <t>Margen neto &gt; 30%</t>
        </is>
      </c>
    </row>
    <row r="26">
      <c r="A26" s="111" t="inlineStr">
        <is>
          <t>Dependencia financiera y fiscal</t>
        </is>
      </c>
      <c r="B26" s="111" t="inlineStr">
        <is>
          <t>Alta dependencia</t>
        </is>
      </c>
      <c r="C26" s="111" t="inlineStr">
        <is>
          <t>Dependencia moderada</t>
        </is>
      </c>
      <c r="D26" s="111" t="inlineStr">
        <is>
          <t>Baja dependencia</t>
        </is>
      </c>
    </row>
    <row r="27">
      <c r="A27" s="111" t="inlineStr">
        <is>
          <t>Consistencia del beneficio neto</t>
        </is>
      </c>
      <c r="B27" s="111" t="inlineStr">
        <is>
          <t>Beneficio volátil</t>
        </is>
      </c>
      <c r="C27" s="111" t="inlineStr">
        <is>
          <t>Beneficio estable</t>
        </is>
      </c>
      <c r="D27" s="111" t="inlineStr">
        <is>
          <t>Beneficio recurrente</t>
        </is>
      </c>
    </row>
    <row r="28">
      <c r="A28" s="111" t="inlineStr">
        <is>
          <t>Evolución del efectivo y equivalentes</t>
        </is>
      </c>
      <c r="B28" s="111" t="inlineStr">
        <is>
          <t>Disminuye</t>
        </is>
      </c>
      <c r="C28" s="111" t="inlineStr">
        <is>
          <t>Se mantiene</t>
        </is>
      </c>
      <c r="D28" s="111" t="inlineStr">
        <is>
          <t>Aumenta</t>
        </is>
      </c>
    </row>
    <row r="29">
      <c r="A29" s="111" t="inlineStr">
        <is>
          <t>Deuda ajustada / Equity</t>
        </is>
      </c>
      <c r="B29" s="111" t="inlineStr">
        <is>
          <t>Mayor a 0,8</t>
        </is>
      </c>
      <c r="C29" s="111" t="inlineStr">
        <is>
          <t>Entre 0,6 y 0,8</t>
        </is>
      </c>
      <c r="D29" s="111" t="inlineStr">
        <is>
          <t>Menor a 0,6</t>
        </is>
      </c>
    </row>
    <row r="30">
      <c r="A30" s="111" t="inlineStr">
        <is>
          <t>Existencias vs crecimiento de ingresos</t>
        </is>
      </c>
      <c r="B30" s="111" t="inlineStr">
        <is>
          <t>Desalineadas o muy cíclicas</t>
        </is>
      </c>
      <c r="C30" s="111" t="inlineStr">
        <is>
          <t>Ligera acumulación</t>
        </is>
      </c>
      <c r="D30" s="111" t="inlineStr">
        <is>
          <t>Alineadas con el crecimiento</t>
        </is>
      </c>
    </row>
    <row r="31">
      <c r="A31" s="111" t="inlineStr">
        <is>
          <t>Clientes / ventas anuales</t>
        </is>
      </c>
      <c r="B31" s="111" t="inlineStr">
        <is>
          <t>Mayor al 30%</t>
        </is>
      </c>
      <c r="C31" s="111" t="inlineStr">
        <is>
          <t>Entre 15% y 30%</t>
        </is>
      </c>
      <c r="D31" s="111" t="inlineStr">
        <is>
          <t>Menor al 15%</t>
        </is>
      </c>
    </row>
    <row r="32">
      <c r="A32" s="111" t="inlineStr">
        <is>
          <t>Inmovilizado (PPE) sobre activo</t>
        </is>
      </c>
      <c r="B32" s="111" t="inlineStr">
        <is>
          <t>Mayor al 40%</t>
        </is>
      </c>
      <c r="C32" s="111" t="inlineStr">
        <is>
          <t>Entre 20% y 40%</t>
        </is>
      </c>
      <c r="D32" s="111" t="inlineStr">
        <is>
          <t>Menor al 20%</t>
        </is>
      </c>
    </row>
    <row r="33">
      <c r="A33" s="111" t="inlineStr">
        <is>
          <t>Liquidez operativa vs pasivo corriente</t>
        </is>
      </c>
      <c r="B33" s="111" t="inlineStr">
        <is>
          <t>OCF insuficiente</t>
        </is>
      </c>
      <c r="C33" s="111" t="inlineStr">
        <is>
          <t>Cobertura parcial</t>
        </is>
      </c>
      <c r="D33" s="111" t="inlineStr">
        <is>
          <t>Cobertura holgada</t>
        </is>
      </c>
    </row>
    <row r="34">
      <c r="A34" s="111" t="inlineStr">
        <is>
          <t>Repago deuda corto plazo con OCF</t>
        </is>
      </c>
      <c r="B34" s="111" t="inlineStr">
        <is>
          <t>Más de 2 años</t>
        </is>
      </c>
      <c r="C34" s="111" t="inlineStr">
        <is>
          <t>Entre 1 y 2 años</t>
        </is>
      </c>
      <c r="D34" s="111" t="inlineStr">
        <is>
          <t>Menos de 1 año</t>
        </is>
      </c>
    </row>
    <row r="35">
      <c r="A35" s="111" t="inlineStr">
        <is>
          <t>Repago deuda largo plazo con OCF</t>
        </is>
      </c>
      <c r="B35" s="111" t="inlineStr">
        <is>
          <t>Más de 5 años</t>
        </is>
      </c>
      <c r="C35" s="111" t="inlineStr">
        <is>
          <t>Entre 3 y 5 años</t>
        </is>
      </c>
      <c r="D35" s="111" t="inlineStr">
        <is>
          <t>Menos de 3 años</t>
        </is>
      </c>
    </row>
    <row r="36">
      <c r="A36" s="111" t="inlineStr">
        <is>
          <t>Tendencia del coeficiente de solvencia (5 años)</t>
        </is>
      </c>
      <c r="B36" s="111" t="inlineStr">
        <is>
          <t>Empeora</t>
        </is>
      </c>
      <c r="C36" s="111" t="inlineStr">
        <is>
          <t>Se mantiene</t>
        </is>
      </c>
      <c r="D36" s="111" t="inlineStr">
        <is>
          <t>Mejora</t>
        </is>
      </c>
    </row>
    <row r="37">
      <c r="A37" s="111" t="inlineStr">
        <is>
          <t>Política de capital (acciones propias)</t>
        </is>
      </c>
      <c r="B37" s="111" t="inlineStr">
        <is>
          <t>Emite acciones</t>
        </is>
      </c>
      <c r="C37" s="111" t="inlineStr">
        <is>
          <t>Ni emite ni recompra</t>
        </is>
      </c>
      <c r="D37" s="111" t="inlineStr">
        <is>
          <t>Recompra acciones</t>
        </is>
      </c>
    </row>
    <row r="38">
      <c r="A38" s="111" t="inlineStr">
        <is>
          <t>ROE</t>
        </is>
      </c>
      <c r="B38" s="111" t="inlineStr">
        <is>
          <t>Menor al 15%</t>
        </is>
      </c>
      <c r="C38" s="111" t="inlineStr">
        <is>
          <t>Entre 15% y 25%</t>
        </is>
      </c>
      <c r="D38" s="111" t="inlineStr">
        <is>
          <t>Mayor al 25%</t>
        </is>
      </c>
    </row>
    <row r="39">
      <c r="A39" s="111" t="inlineStr">
        <is>
          <t>Flujo operativo vs beneficio neto</t>
        </is>
      </c>
      <c r="B39" s="111" t="inlineStr">
        <is>
          <t>Menor que el beneficio neto</t>
        </is>
      </c>
      <c r="C39" s="111" t="inlineStr">
        <is>
          <t>Similar al beneficio neto</t>
        </is>
      </c>
      <c r="D39" s="111" t="inlineStr">
        <is>
          <t>Mayor que el beneficio neto</t>
        </is>
      </c>
    </row>
    <row r="40">
      <c r="A40" s="111" t="inlineStr">
        <is>
          <t>CAGR del flujo operativo vs CAGR del beneficio neto</t>
        </is>
      </c>
      <c r="B40" s="111" t="inlineStr">
        <is>
          <t>Menor</t>
        </is>
      </c>
      <c r="C40" s="111" t="inlineStr">
        <is>
          <t>Similar</t>
        </is>
      </c>
      <c r="D40" s="111" t="inlineStr">
        <is>
          <t>Mayor</t>
        </is>
      </c>
    </row>
    <row r="41">
      <c r="A41" s="111" t="inlineStr">
        <is>
          <t>Capex sobre flujo operativo (últimos 5 años)</t>
        </is>
      </c>
      <c r="B41" s="111" t="inlineStr">
        <is>
          <t>Mayor al 50%</t>
        </is>
      </c>
      <c r="C41" s="111" t="inlineStr">
        <is>
          <t>Entre 25% y 50%</t>
        </is>
      </c>
      <c r="D41" s="111" t="inlineStr">
        <is>
          <t>Menor al 25%</t>
        </is>
      </c>
    </row>
    <row r="42">
      <c r="A42" s="111" t="inlineStr">
        <is>
          <t>Amortiza deuda sin depender de nueva deuda</t>
        </is>
      </c>
      <c r="B42" s="111" t="inlineStr">
        <is>
          <t>Emite nueva deuda para repagar</t>
        </is>
      </c>
      <c r="C42" s="111" t="inlineStr">
        <is>
          <t>Emite menos de lo que devuelve</t>
        </is>
      </c>
      <c r="D42" s="111" t="inlineStr">
        <is>
          <t>No emite nueva deuda</t>
        </is>
      </c>
    </row>
    <row r="43">
      <c r="A43" s="111" t="inlineStr">
        <is>
          <t>Política de capital (recompras / dilución)</t>
        </is>
      </c>
      <c r="B43" s="111" t="inlineStr">
        <is>
          <t>Emite acciones</t>
        </is>
      </c>
      <c r="C43" s="111" t="inlineStr">
        <is>
          <t>Ni emite ni recompra</t>
        </is>
      </c>
      <c r="D43" s="111" t="inlineStr">
        <is>
          <t>Recompra acciones</t>
        </is>
      </c>
    </row>
    <row r="44">
      <c r="A44" s="111" t="inlineStr">
        <is>
          <t>¿Cuánto del flujo operativo se convierte realmente en flujo de caja libre?</t>
        </is>
      </c>
      <c r="B44" s="111" t="inlineStr">
        <is>
          <t>FCF menor que el OCF</t>
        </is>
      </c>
      <c r="C44" s="111" t="inlineStr">
        <is>
          <t>FCF similar al OCF</t>
        </is>
      </c>
      <c r="D44" s="111" t="inlineStr">
        <is>
          <t>FCF cercano al OCF o igual al OCF</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M65"/>
  <sheetViews>
    <sheetView showGridLines="0" zoomScaleNormal="100" workbookViewId="0">
      <pane xSplit="2" ySplit="4" topLeftCell="C5" activePane="bottomRight" state="frozen"/>
      <selection pane="topRight" activeCell="C1" sqref="C1"/>
      <selection pane="bottomLeft" activeCell="A5" sqref="A5"/>
      <selection pane="bottomRight" activeCell="M25" sqref="M25"/>
    </sheetView>
  </sheetViews>
  <sheetFormatPr baseColWidth="10" defaultColWidth="8.5703125" defaultRowHeight="15"/>
  <cols>
    <col width="49.5703125" customWidth="1" style="377" min="1" max="1"/>
    <col width="9.5703125" customWidth="1" style="377" min="2" max="2"/>
    <col width="13.28515625" customWidth="1" style="377" min="3" max="13"/>
  </cols>
  <sheetData>
    <row r="1" ht="18.75" customHeight="1" s="377">
      <c r="A1" s="107" t="inlineStr">
        <is>
          <t>ADOBE · Proyección del escenario desastre</t>
        </is>
      </c>
    </row>
    <row r="2">
      <c r="A2" s="108" t="inlineStr">
        <is>
          <t>Millones de USD salvo datos por acción. Supuestos en la hoja «Escenarios». La columna 2025 es real.</t>
        </is>
      </c>
    </row>
    <row r="4" ht="15.75" customHeight="1" s="377" thickBot="1">
      <c r="A4" s="119" t="inlineStr">
        <is>
          <t>Ejercicio</t>
        </is>
      </c>
      <c r="B4" s="120" t="n"/>
      <c r="C4" s="195" t="inlineStr">
        <is>
          <t>2025 real</t>
        </is>
      </c>
      <c r="D4" s="195" t="n">
        <v>2026</v>
      </c>
      <c r="E4" s="195" t="n">
        <v>2027</v>
      </c>
      <c r="F4" s="195" t="n">
        <v>2028</v>
      </c>
      <c r="G4" s="195" t="n">
        <v>2029</v>
      </c>
      <c r="H4" s="195" t="n">
        <v>2030</v>
      </c>
      <c r="I4" s="195" t="n">
        <v>2031</v>
      </c>
      <c r="J4" s="195" t="n">
        <v>2032</v>
      </c>
      <c r="K4" s="195" t="n">
        <v>2033</v>
      </c>
      <c r="L4" s="195" t="n">
        <v>2034</v>
      </c>
      <c r="M4" s="195" t="n">
        <v>2035</v>
      </c>
    </row>
    <row r="5">
      <c r="A5" s="111" t="inlineStr">
        <is>
          <t>Año de proyección</t>
        </is>
      </c>
      <c r="C5" s="126" t="n">
        <v>0</v>
      </c>
      <c r="D5" s="126" t="n">
        <v>1</v>
      </c>
      <c r="E5" s="126" t="n">
        <v>2</v>
      </c>
      <c r="F5" s="126" t="n">
        <v>3</v>
      </c>
      <c r="G5" s="126" t="n">
        <v>4</v>
      </c>
      <c r="H5" s="126" t="n">
        <v>5</v>
      </c>
      <c r="I5" s="126" t="n">
        <v>6</v>
      </c>
      <c r="J5" s="126" t="n">
        <v>7</v>
      </c>
      <c r="K5" s="126" t="n">
        <v>8</v>
      </c>
      <c r="L5" s="126" t="n">
        <v>9</v>
      </c>
      <c r="M5" s="126" t="n">
        <v>10</v>
      </c>
    </row>
    <row r="6">
      <c r="A6" s="119" t="inlineStr">
        <is>
          <t>CUENTA DE RESULTADOS</t>
        </is>
      </c>
      <c r="B6" s="147" t="n"/>
      <c r="C6" s="147" t="n"/>
      <c r="D6" s="147" t="n"/>
      <c r="E6" s="147" t="n"/>
      <c r="F6" s="147" t="n"/>
      <c r="G6" s="147" t="n"/>
      <c r="H6" s="147" t="n"/>
      <c r="I6" s="147" t="n"/>
      <c r="J6" s="147" t="n"/>
      <c r="K6" s="147" t="n"/>
      <c r="L6" s="147" t="n"/>
      <c r="M6" s="147" t="n"/>
    </row>
    <row r="7">
      <c r="A7" s="111" t="inlineStr">
        <is>
          <t>Crecimiento de ventas</t>
        </is>
      </c>
      <c r="C7" s="500">
        <f>PyG!M8/PyG!L8-1</f>
        <v/>
      </c>
      <c r="D7" s="500">
        <f>Escenarios!$F$72+(Escenarios!$F$73-Escenarios!$F$72)*(D$5-1)/9</f>
        <v/>
      </c>
      <c r="E7" s="500">
        <f>Escenarios!$F$72+(Escenarios!$F$73-Escenarios!$F$72)*(E$5-1)/9</f>
        <v/>
      </c>
      <c r="F7" s="500">
        <f>Escenarios!$F$72+(Escenarios!$F$73-Escenarios!$F$72)*(F$5-1)/9</f>
        <v/>
      </c>
      <c r="G7" s="500">
        <f>Escenarios!$F$72+(Escenarios!$F$73-Escenarios!$F$72)*(G$5-1)/9</f>
        <v/>
      </c>
      <c r="H7" s="500">
        <f>Escenarios!$F$72+(Escenarios!$F$73-Escenarios!$F$72)*(H$5-1)/9</f>
        <v/>
      </c>
      <c r="I7" s="500">
        <f>Escenarios!$F$72+(Escenarios!$F$73-Escenarios!$F$72)*(I$5-1)/9</f>
        <v/>
      </c>
      <c r="J7" s="500">
        <f>Escenarios!$F$72+(Escenarios!$F$73-Escenarios!$F$72)*(J$5-1)/9</f>
        <v/>
      </c>
      <c r="K7" s="500">
        <f>Escenarios!$F$72+(Escenarios!$F$73-Escenarios!$F$72)*(K$5-1)/9</f>
        <v/>
      </c>
      <c r="L7" s="500">
        <f>Escenarios!$F$72+(Escenarios!$F$73-Escenarios!$F$72)*(L$5-1)/9</f>
        <v/>
      </c>
      <c r="M7" s="500">
        <f>Escenarios!$F$72+(Escenarios!$F$73-Escenarios!$F$72)*(M$5-1)/9</f>
        <v/>
      </c>
    </row>
    <row r="8">
      <c r="A8" s="130" t="inlineStr">
        <is>
          <t>Ventas</t>
        </is>
      </c>
      <c r="C8" s="532">
        <f>PyG!M8</f>
        <v/>
      </c>
      <c r="D8" s="533">
        <f>C8*(1+D7)</f>
        <v/>
      </c>
      <c r="E8" s="533">
        <f>D8*(1+E7)</f>
        <v/>
      </c>
      <c r="F8" s="533">
        <f>E8*(1+F7)</f>
        <v/>
      </c>
      <c r="G8" s="533">
        <f>F8*(1+G7)</f>
        <v/>
      </c>
      <c r="H8" s="533">
        <f>G8*(1+H7)</f>
        <v/>
      </c>
      <c r="I8" s="533">
        <f>H8*(1+I7)</f>
        <v/>
      </c>
      <c r="J8" s="533">
        <f>I8*(1+J7)</f>
        <v/>
      </c>
      <c r="K8" s="533">
        <f>J8*(1+K7)</f>
        <v/>
      </c>
      <c r="L8" s="533">
        <f>K8*(1+L7)</f>
        <v/>
      </c>
      <c r="M8" s="533">
        <f>L8*(1+M7)</f>
        <v/>
      </c>
    </row>
    <row r="9">
      <c r="A9" s="111" t="inlineStr">
        <is>
          <t>Coste de ventas</t>
        </is>
      </c>
      <c r="C9" s="497">
        <f>PyG!M9</f>
        <v/>
      </c>
      <c r="D9" s="513">
        <f>D8*(1-D11)</f>
        <v/>
      </c>
      <c r="E9" s="513">
        <f>E8*(1-E11)</f>
        <v/>
      </c>
      <c r="F9" s="513">
        <f>F8*(1-F11)</f>
        <v/>
      </c>
      <c r="G9" s="513">
        <f>G8*(1-G11)</f>
        <v/>
      </c>
      <c r="H9" s="513">
        <f>H8*(1-H11)</f>
        <v/>
      </c>
      <c r="I9" s="513">
        <f>I8*(1-I11)</f>
        <v/>
      </c>
      <c r="J9" s="513">
        <f>J8*(1-J11)</f>
        <v/>
      </c>
      <c r="K9" s="513">
        <f>K8*(1-K11)</f>
        <v/>
      </c>
      <c r="L9" s="513">
        <f>L8*(1-L11)</f>
        <v/>
      </c>
      <c r="M9" s="513">
        <f>M8*(1-M11)</f>
        <v/>
      </c>
    </row>
    <row r="10">
      <c r="A10" s="130" t="inlineStr">
        <is>
          <t>Margen bruto</t>
        </is>
      </c>
      <c r="C10" s="532">
        <f>PyG!M10</f>
        <v/>
      </c>
      <c r="D10" s="533">
        <f>D8-D9</f>
        <v/>
      </c>
      <c r="E10" s="533">
        <f>E8-E9</f>
        <v/>
      </c>
      <c r="F10" s="533">
        <f>F8-F9</f>
        <v/>
      </c>
      <c r="G10" s="533">
        <f>G8-G9</f>
        <v/>
      </c>
      <c r="H10" s="533">
        <f>H8-H9</f>
        <v/>
      </c>
      <c r="I10" s="533">
        <f>I8-I9</f>
        <v/>
      </c>
      <c r="J10" s="533">
        <f>J8-J9</f>
        <v/>
      </c>
      <c r="K10" s="533">
        <f>K8-K9</f>
        <v/>
      </c>
      <c r="L10" s="533">
        <f>L8-L9</f>
        <v/>
      </c>
      <c r="M10" s="533">
        <f>M8-M9</f>
        <v/>
      </c>
    </row>
    <row r="11">
      <c r="A11" s="111" t="inlineStr">
        <is>
          <t>Margen bruto %</t>
        </is>
      </c>
      <c r="C11" s="498">
        <f>C10/C8</f>
        <v/>
      </c>
      <c r="D11" s="500">
        <f>$C$11+(Escenarios!$F$74-$C$11)*MIN(D$5/Escenarios!$B$11,1)</f>
        <v/>
      </c>
      <c r="E11" s="500">
        <f>$C$11+(Escenarios!$F$74-$C$11)*MIN(E$5/Escenarios!$B$11,1)</f>
        <v/>
      </c>
      <c r="F11" s="500">
        <f>$C$11+(Escenarios!$F$74-$C$11)*MIN(F$5/Escenarios!$B$11,1)</f>
        <v/>
      </c>
      <c r="G11" s="500">
        <f>$C$11+(Escenarios!$F$74-$C$11)*MIN(G$5/Escenarios!$B$11,1)</f>
        <v/>
      </c>
      <c r="H11" s="500">
        <f>$C$11+(Escenarios!$F$74-$C$11)*MIN(H$5/Escenarios!$B$11,1)</f>
        <v/>
      </c>
      <c r="I11" s="500">
        <f>$C$11+(Escenarios!$F$74-$C$11)*MIN(I$5/Escenarios!$B$11,1)</f>
        <v/>
      </c>
      <c r="J11" s="500">
        <f>$C$11+(Escenarios!$F$74-$C$11)*MIN(J$5/Escenarios!$B$11,1)</f>
        <v/>
      </c>
      <c r="K11" s="500">
        <f>$C$11+(Escenarios!$F$74-$C$11)*MIN(K$5/Escenarios!$B$11,1)</f>
        <v/>
      </c>
      <c r="L11" s="500">
        <f>$C$11+(Escenarios!$F$74-$C$11)*MIN(L$5/Escenarios!$B$11,1)</f>
        <v/>
      </c>
      <c r="M11" s="500">
        <f>$C$11+(Escenarios!$F$74-$C$11)*MIN(M$5/Escenarios!$B$11,1)</f>
        <v/>
      </c>
    </row>
    <row r="12">
      <c r="A12" s="111" t="inlineStr">
        <is>
          <t>Gastos operativos</t>
        </is>
      </c>
      <c r="C12" s="497">
        <f>PyG!M14</f>
        <v/>
      </c>
      <c r="D12" s="513">
        <f>D10-D15</f>
        <v/>
      </c>
      <c r="E12" s="513">
        <f>E10-E15</f>
        <v/>
      </c>
      <c r="F12" s="513">
        <f>F10-F15</f>
        <v/>
      </c>
      <c r="G12" s="513">
        <f>G10-G15</f>
        <v/>
      </c>
      <c r="H12" s="513">
        <f>H10-H15</f>
        <v/>
      </c>
      <c r="I12" s="513">
        <f>I10-I15</f>
        <v/>
      </c>
      <c r="J12" s="513">
        <f>J10-J15</f>
        <v/>
      </c>
      <c r="K12" s="513">
        <f>K10-K15</f>
        <v/>
      </c>
      <c r="L12" s="513">
        <f>L10-L15</f>
        <v/>
      </c>
      <c r="M12" s="513">
        <f>M10-M15</f>
        <v/>
      </c>
    </row>
    <row r="13">
      <c r="A13" s="111" t="inlineStr">
        <is>
          <t xml:space="preserve">   de los cuales I+D</t>
        </is>
      </c>
      <c r="C13" s="497">
        <f>PyG!M11</f>
        <v/>
      </c>
      <c r="D13" s="497">
        <f>D12*Escenarios!$B$50</f>
        <v/>
      </c>
      <c r="E13" s="497">
        <f>E12*Escenarios!$B$50</f>
        <v/>
      </c>
      <c r="F13" s="497">
        <f>F12*Escenarios!$B$50</f>
        <v/>
      </c>
      <c r="G13" s="497">
        <f>G12*Escenarios!$B$50</f>
        <v/>
      </c>
      <c r="H13" s="497">
        <f>H12*Escenarios!$B$50</f>
        <v/>
      </c>
      <c r="I13" s="497">
        <f>I12*Escenarios!$B$50</f>
        <v/>
      </c>
      <c r="J13" s="497">
        <f>J12*Escenarios!$B$50</f>
        <v/>
      </c>
      <c r="K13" s="497">
        <f>K12*Escenarios!$B$50</f>
        <v/>
      </c>
      <c r="L13" s="497">
        <f>L12*Escenarios!$B$50</f>
        <v/>
      </c>
      <c r="M13" s="497">
        <f>M12*Escenarios!$B$50</f>
        <v/>
      </c>
    </row>
    <row r="14">
      <c r="A14" s="111" t="inlineStr">
        <is>
          <t xml:space="preserve">   de los cuales comerciales, generales y otros</t>
        </is>
      </c>
      <c r="C14" s="497">
        <f>PyG!M14-PyG!M11</f>
        <v/>
      </c>
      <c r="D14" s="513">
        <f>D12-D13</f>
        <v/>
      </c>
      <c r="E14" s="513">
        <f>E12-E13</f>
        <v/>
      </c>
      <c r="F14" s="513">
        <f>F12-F13</f>
        <v/>
      </c>
      <c r="G14" s="513">
        <f>G12-G13</f>
        <v/>
      </c>
      <c r="H14" s="513">
        <f>H12-H13</f>
        <v/>
      </c>
      <c r="I14" s="513">
        <f>I12-I13</f>
        <v/>
      </c>
      <c r="J14" s="513">
        <f>J12-J13</f>
        <v/>
      </c>
      <c r="K14" s="513">
        <f>K12-K13</f>
        <v/>
      </c>
      <c r="L14" s="513">
        <f>L12-L13</f>
        <v/>
      </c>
      <c r="M14" s="513">
        <f>M12-M13</f>
        <v/>
      </c>
    </row>
    <row r="15">
      <c r="A15" s="130" t="inlineStr">
        <is>
          <t>Resultado operativo (EBIT)</t>
        </is>
      </c>
      <c r="C15" s="532">
        <f>PyG!M15</f>
        <v/>
      </c>
      <c r="D15" s="533">
        <f>D8*D16</f>
        <v/>
      </c>
      <c r="E15" s="533">
        <f>E8*E16</f>
        <v/>
      </c>
      <c r="F15" s="533">
        <f>F8*F16</f>
        <v/>
      </c>
      <c r="G15" s="533">
        <f>G8*G16</f>
        <v/>
      </c>
      <c r="H15" s="533">
        <f>H8*H16</f>
        <v/>
      </c>
      <c r="I15" s="533">
        <f>I8*I16</f>
        <v/>
      </c>
      <c r="J15" s="533">
        <f>J8*J16</f>
        <v/>
      </c>
      <c r="K15" s="533">
        <f>K8*K16</f>
        <v/>
      </c>
      <c r="L15" s="533">
        <f>L8*L16</f>
        <v/>
      </c>
      <c r="M15" s="533">
        <f>M8*M16</f>
        <v/>
      </c>
    </row>
    <row r="16">
      <c r="A16" s="111" t="inlineStr">
        <is>
          <t>Margen operativo %</t>
        </is>
      </c>
      <c r="C16" s="498">
        <f>C15/C8</f>
        <v/>
      </c>
      <c r="D16" s="500">
        <f>$C$16+(Escenarios!$F$75-$C$16)*MIN(D$5/Escenarios!$B$11,1)</f>
        <v/>
      </c>
      <c r="E16" s="500">
        <f>$C$16+(Escenarios!$F$75-$C$16)*MIN(E$5/Escenarios!$B$11,1)</f>
        <v/>
      </c>
      <c r="F16" s="500">
        <f>$C$16+(Escenarios!$F$75-$C$16)*MIN(F$5/Escenarios!$B$11,1)</f>
        <v/>
      </c>
      <c r="G16" s="500">
        <f>$C$16+(Escenarios!$F$75-$C$16)*MIN(G$5/Escenarios!$B$11,1)</f>
        <v/>
      </c>
      <c r="H16" s="500">
        <f>$C$16+(Escenarios!$F$75-$C$16)*MIN(H$5/Escenarios!$B$11,1)</f>
        <v/>
      </c>
      <c r="I16" s="500">
        <f>$C$16+(Escenarios!$F$75-$C$16)*MIN(I$5/Escenarios!$B$11,1)</f>
        <v/>
      </c>
      <c r="J16" s="500">
        <f>$C$16+(Escenarios!$F$75-$C$16)*MIN(J$5/Escenarios!$B$11,1)</f>
        <v/>
      </c>
      <c r="K16" s="500">
        <f>$C$16+(Escenarios!$F$75-$C$16)*MIN(K$5/Escenarios!$B$11,1)</f>
        <v/>
      </c>
      <c r="L16" s="500">
        <f>$C$16+(Escenarios!$F$75-$C$16)*MIN(L$5/Escenarios!$B$11,1)</f>
        <v/>
      </c>
      <c r="M16" s="500">
        <f>$C$16+(Escenarios!$F$75-$C$16)*MIN(M$5/Escenarios!$B$11,1)</f>
        <v/>
      </c>
    </row>
    <row r="17">
      <c r="A17" s="111" t="inlineStr">
        <is>
          <t>Amortizaciones</t>
        </is>
      </c>
      <c r="C17" s="497">
        <f>'Cash Flow'!M7</f>
        <v/>
      </c>
      <c r="D17" s="497">
        <f>D8*Escenarios!$B$47</f>
        <v/>
      </c>
      <c r="E17" s="497">
        <f>E8*Escenarios!$B$47</f>
        <v/>
      </c>
      <c r="F17" s="497">
        <f>F8*Escenarios!$B$47</f>
        <v/>
      </c>
      <c r="G17" s="497">
        <f>G8*Escenarios!$B$47</f>
        <v/>
      </c>
      <c r="H17" s="497">
        <f>H8*Escenarios!$B$47</f>
        <v/>
      </c>
      <c r="I17" s="497">
        <f>I8*Escenarios!$B$47</f>
        <v/>
      </c>
      <c r="J17" s="497">
        <f>J8*Escenarios!$B$47</f>
        <v/>
      </c>
      <c r="K17" s="497">
        <f>K8*Escenarios!$B$47</f>
        <v/>
      </c>
      <c r="L17" s="497">
        <f>L8*Escenarios!$B$47</f>
        <v/>
      </c>
      <c r="M17" s="497">
        <f>M8*Escenarios!$B$47</f>
        <v/>
      </c>
    </row>
    <row r="18">
      <c r="A18" s="119" t="inlineStr">
        <is>
          <t>EBITDA</t>
        </is>
      </c>
      <c r="B18" s="147" t="n"/>
      <c r="C18" s="534">
        <f>C15+C17</f>
        <v/>
      </c>
      <c r="D18" s="534">
        <f>D15+D17</f>
        <v/>
      </c>
      <c r="E18" s="534">
        <f>E15+E17</f>
        <v/>
      </c>
      <c r="F18" s="534">
        <f>F15+F17</f>
        <v/>
      </c>
      <c r="G18" s="534">
        <f>G15+G17</f>
        <v/>
      </c>
      <c r="H18" s="534">
        <f>H15+H17</f>
        <v/>
      </c>
      <c r="I18" s="534">
        <f>I15+I17</f>
        <v/>
      </c>
      <c r="J18" s="534">
        <f>J15+J17</f>
        <v/>
      </c>
      <c r="K18" s="534">
        <f>K15+K17</f>
        <v/>
      </c>
      <c r="L18" s="534">
        <f>L15+L17</f>
        <v/>
      </c>
      <c r="M18" s="534">
        <f>M15+M17</f>
        <v/>
      </c>
    </row>
    <row r="19">
      <c r="A19" s="111" t="inlineStr">
        <is>
          <t>Resultado no operativo</t>
        </is>
      </c>
      <c r="C19" s="497">
        <f>PyG!M16</f>
        <v/>
      </c>
      <c r="D19" s="497">
        <f>D8*Escenarios!$B$46</f>
        <v/>
      </c>
      <c r="E19" s="497">
        <f>E8*Escenarios!$B$46</f>
        <v/>
      </c>
      <c r="F19" s="497">
        <f>F8*Escenarios!$B$46</f>
        <v/>
      </c>
      <c r="G19" s="497">
        <f>G8*Escenarios!$B$46</f>
        <v/>
      </c>
      <c r="H19" s="497">
        <f>H8*Escenarios!$B$46</f>
        <v/>
      </c>
      <c r="I19" s="497">
        <f>I8*Escenarios!$B$46</f>
        <v/>
      </c>
      <c r="J19" s="497">
        <f>J8*Escenarios!$B$46</f>
        <v/>
      </c>
      <c r="K19" s="497">
        <f>K8*Escenarios!$B$46</f>
        <v/>
      </c>
      <c r="L19" s="497">
        <f>L8*Escenarios!$B$46</f>
        <v/>
      </c>
      <c r="M19" s="497">
        <f>M8*Escenarios!$B$46</f>
        <v/>
      </c>
    </row>
    <row r="20">
      <c r="A20" s="111" t="inlineStr">
        <is>
          <t>Beneficio antes de impuestos</t>
        </is>
      </c>
      <c r="C20" s="497">
        <f>PyG!M17</f>
        <v/>
      </c>
      <c r="D20" s="513">
        <f>D15+D19</f>
        <v/>
      </c>
      <c r="E20" s="513">
        <f>E15+E19</f>
        <v/>
      </c>
      <c r="F20" s="513">
        <f>F15+F19</f>
        <v/>
      </c>
      <c r="G20" s="513">
        <f>G15+G19</f>
        <v/>
      </c>
      <c r="H20" s="513">
        <f>H15+H19</f>
        <v/>
      </c>
      <c r="I20" s="513">
        <f>I15+I19</f>
        <v/>
      </c>
      <c r="J20" s="513">
        <f>J15+J19</f>
        <v/>
      </c>
      <c r="K20" s="513">
        <f>K15+K19</f>
        <v/>
      </c>
      <c r="L20" s="513">
        <f>L15+L19</f>
        <v/>
      </c>
      <c r="M20" s="513">
        <f>M15+M19</f>
        <v/>
      </c>
    </row>
    <row r="21">
      <c r="A21" s="111" t="inlineStr">
        <is>
          <t>Impuestos</t>
        </is>
      </c>
      <c r="C21" s="497">
        <f>PyG!M18</f>
        <v/>
      </c>
      <c r="D21" s="497">
        <f>MAX(D20,0)*Escenarios!$B$45</f>
        <v/>
      </c>
      <c r="E21" s="497">
        <f>MAX(E20,0)*Escenarios!$B$45</f>
        <v/>
      </c>
      <c r="F21" s="497">
        <f>MAX(F20,0)*Escenarios!$B$45</f>
        <v/>
      </c>
      <c r="G21" s="497">
        <f>MAX(G20,0)*Escenarios!$B$45</f>
        <v/>
      </c>
      <c r="H21" s="497">
        <f>MAX(H20,0)*Escenarios!$B$45</f>
        <v/>
      </c>
      <c r="I21" s="497">
        <f>MAX(I20,0)*Escenarios!$B$45</f>
        <v/>
      </c>
      <c r="J21" s="497">
        <f>MAX(J20,0)*Escenarios!$B$45</f>
        <v/>
      </c>
      <c r="K21" s="497">
        <f>MAX(K20,0)*Escenarios!$B$45</f>
        <v/>
      </c>
      <c r="L21" s="497">
        <f>MAX(L20,0)*Escenarios!$B$45</f>
        <v/>
      </c>
      <c r="M21" s="497">
        <f>MAX(M20,0)*Escenarios!$B$45</f>
        <v/>
      </c>
    </row>
    <row r="22">
      <c r="A22" s="130" t="inlineStr">
        <is>
          <t>Beneficio neto</t>
        </is>
      </c>
      <c r="C22" s="532">
        <f>PyG!M23</f>
        <v/>
      </c>
      <c r="D22" s="533">
        <f>D20-D21</f>
        <v/>
      </c>
      <c r="E22" s="533">
        <f>E20-E21</f>
        <v/>
      </c>
      <c r="F22" s="533">
        <f>F20-F21</f>
        <v/>
      </c>
      <c r="G22" s="533">
        <f>G20-G21</f>
        <v/>
      </c>
      <c r="H22" s="533">
        <f>H20-H21</f>
        <v/>
      </c>
      <c r="I22" s="533">
        <f>I20-I21</f>
        <v/>
      </c>
      <c r="J22" s="533">
        <f>J20-J21</f>
        <v/>
      </c>
      <c r="K22" s="533">
        <f>K20-K21</f>
        <v/>
      </c>
      <c r="L22" s="533">
        <f>L20-L21</f>
        <v/>
      </c>
      <c r="M22" s="533">
        <f>M20-M21</f>
        <v/>
      </c>
    </row>
    <row r="23">
      <c r="A23" s="111" t="inlineStr">
        <is>
          <t>Margen neto %</t>
        </is>
      </c>
      <c r="C23" s="498">
        <f>C22/C8</f>
        <v/>
      </c>
      <c r="D23" s="498">
        <f>D22/D8</f>
        <v/>
      </c>
      <c r="E23" s="498">
        <f>E22/E8</f>
        <v/>
      </c>
      <c r="F23" s="498">
        <f>F22/F8</f>
        <v/>
      </c>
      <c r="G23" s="498">
        <f>G22/G8</f>
        <v/>
      </c>
      <c r="H23" s="498">
        <f>H22/H8</f>
        <v/>
      </c>
      <c r="I23" s="498">
        <f>I22/I8</f>
        <v/>
      </c>
      <c r="J23" s="498">
        <f>J22/J8</f>
        <v/>
      </c>
      <c r="K23" s="498">
        <f>K22/K8</f>
        <v/>
      </c>
      <c r="L23" s="498">
        <f>L22/L8</f>
        <v/>
      </c>
      <c r="M23" s="498">
        <f>M22/M8</f>
        <v/>
      </c>
    </row>
    <row r="24">
      <c r="A24" s="111" t="inlineStr">
        <is>
          <t>Acciones diluidas (M)</t>
        </is>
      </c>
      <c r="C24" s="535">
        <f>PyG!M27</f>
        <v/>
      </c>
      <c r="D24" s="536">
        <f>IF(D38&gt;0,C24+(D32+D39)/D38,C24)</f>
        <v/>
      </c>
      <c r="E24" s="536">
        <f>IF(E38&gt;0,D24+(E32+E39)/E38,D24)</f>
        <v/>
      </c>
      <c r="F24" s="536">
        <f>IF(F38&gt;0,E24+(F32+F39)/F38,E24)</f>
        <v/>
      </c>
      <c r="G24" s="536">
        <f>IF(G38&gt;0,F24+(G32+G39)/G38,F24)</f>
        <v/>
      </c>
      <c r="H24" s="536">
        <f>IF(H38&gt;0,G24+(H32+H39)/H38,G24)</f>
        <v/>
      </c>
      <c r="I24" s="536">
        <f>IF(I38&gt;0,H24+(I32+I39)/I38,H24)</f>
        <v/>
      </c>
      <c r="J24" s="536">
        <f>IF(J38&gt;0,I24+(J32+J39)/J38,I24)</f>
        <v/>
      </c>
      <c r="K24" s="536">
        <f>IF(K38&gt;0,J24+(K32+K39)/K38,J24)</f>
        <v/>
      </c>
      <c r="L24" s="536">
        <f>IF(L38&gt;0,K24+(L32+L39)/L38,K24)</f>
        <v/>
      </c>
      <c r="M24" s="536">
        <f>IF(M38&gt;0,L24+(M32+M39)/M38,L24)</f>
        <v/>
      </c>
    </row>
    <row r="25">
      <c r="A25" s="130" t="inlineStr">
        <is>
          <t>BPA diluido</t>
        </is>
      </c>
      <c r="C25" s="537">
        <f>PyG!M29</f>
        <v/>
      </c>
      <c r="D25" s="506">
        <f>D22/D24</f>
        <v/>
      </c>
      <c r="E25" s="506">
        <f>E22/E24</f>
        <v/>
      </c>
      <c r="F25" s="506">
        <f>F22/F24</f>
        <v/>
      </c>
      <c r="G25" s="506">
        <f>G22/G24</f>
        <v/>
      </c>
      <c r="H25" s="506">
        <f>H22/H24</f>
        <v/>
      </c>
      <c r="I25" s="506">
        <f>I22/I24</f>
        <v/>
      </c>
      <c r="J25" s="506">
        <f>J22/J24</f>
        <v/>
      </c>
      <c r="K25" s="506">
        <f>K22/K24</f>
        <v/>
      </c>
      <c r="L25" s="506">
        <f>L22/L24</f>
        <v/>
      </c>
      <c r="M25" s="506">
        <f>M22/M24</f>
        <v/>
      </c>
    </row>
    <row r="26">
      <c r="A26" s="111" t="inlineStr">
        <is>
          <t>Crecimiento del BPA</t>
        </is>
      </c>
      <c r="D26" s="498">
        <f>IF(C25&gt;0,D25/C25-1,0)</f>
        <v/>
      </c>
      <c r="E26" s="498">
        <f>IF(D25&gt;0,E25/D25-1,0)</f>
        <v/>
      </c>
      <c r="F26" s="498">
        <f>IF(E25&gt;0,F25/E25-1,0)</f>
        <v/>
      </c>
      <c r="G26" s="498">
        <f>IF(F25&gt;0,G25/F25-1,0)</f>
        <v/>
      </c>
      <c r="H26" s="498">
        <f>IF(G25&gt;0,H25/G25-1,0)</f>
        <v/>
      </c>
      <c r="I26" s="498">
        <f>IF(H25&gt;0,I25/H25-1,0)</f>
        <v/>
      </c>
      <c r="J26" s="498">
        <f>IF(I25&gt;0,J25/I25-1,0)</f>
        <v/>
      </c>
      <c r="K26" s="498">
        <f>IF(J25&gt;0,K25/J25-1,0)</f>
        <v/>
      </c>
      <c r="L26" s="498">
        <f>IF(K25&gt;0,L25/K25-1,0)</f>
        <v/>
      </c>
      <c r="M26" s="498">
        <f>IF(L25&gt;0,M25/L25-1,0)</f>
        <v/>
      </c>
    </row>
    <row r="27">
      <c r="A27" s="111" t="inlineStr">
        <is>
          <t>Dividendo por acción</t>
        </is>
      </c>
      <c r="C27" s="493">
        <f>ABS('Cash Flow'!M29)/C24</f>
        <v/>
      </c>
      <c r="D27" s="493">
        <f>MAX(D25,0)*Escenarios!$B$44</f>
        <v/>
      </c>
      <c r="E27" s="493">
        <f>MAX(E25,0)*Escenarios!$B$44</f>
        <v/>
      </c>
      <c r="F27" s="493">
        <f>MAX(F25,0)*Escenarios!$B$44</f>
        <v/>
      </c>
      <c r="G27" s="493">
        <f>MAX(G25,0)*Escenarios!$B$44</f>
        <v/>
      </c>
      <c r="H27" s="493">
        <f>MAX(H25,0)*Escenarios!$B$44</f>
        <v/>
      </c>
      <c r="I27" s="493">
        <f>MAX(I25,0)*Escenarios!$B$44</f>
        <v/>
      </c>
      <c r="J27" s="493">
        <f>MAX(J25,0)*Escenarios!$B$44</f>
        <v/>
      </c>
      <c r="K27" s="493">
        <f>MAX(K25,0)*Escenarios!$B$44</f>
        <v/>
      </c>
      <c r="L27" s="493">
        <f>MAX(L25,0)*Escenarios!$B$44</f>
        <v/>
      </c>
      <c r="M27" s="493">
        <f>MAX(M25,0)*Escenarios!$B$44</f>
        <v/>
      </c>
    </row>
    <row r="29">
      <c r="A29" s="119" t="inlineStr">
        <is>
          <t>FLUJO DE CAJA</t>
        </is>
      </c>
      <c r="B29" s="147" t="n"/>
      <c r="C29" s="147" t="n"/>
      <c r="D29" s="147" t="n"/>
      <c r="E29" s="147" t="n"/>
      <c r="F29" s="147" t="n"/>
      <c r="G29" s="147" t="n"/>
      <c r="H29" s="147" t="n"/>
      <c r="I29" s="147" t="n"/>
      <c r="J29" s="147" t="n"/>
      <c r="K29" s="147" t="n"/>
      <c r="L29" s="147" t="n"/>
      <c r="M29" s="147" t="n"/>
    </row>
    <row r="30">
      <c r="A30" s="111" t="inlineStr">
        <is>
          <t>Beneficio neto</t>
        </is>
      </c>
      <c r="C30" s="513">
        <f>C22</f>
        <v/>
      </c>
      <c r="D30" s="513">
        <f>D22</f>
        <v/>
      </c>
      <c r="E30" s="513">
        <f>E22</f>
        <v/>
      </c>
      <c r="F30" s="513">
        <f>F22</f>
        <v/>
      </c>
      <c r="G30" s="513">
        <f>G22</f>
        <v/>
      </c>
      <c r="H30" s="513">
        <f>H22</f>
        <v/>
      </c>
      <c r="I30" s="513">
        <f>I22</f>
        <v/>
      </c>
      <c r="J30" s="513">
        <f>J22</f>
        <v/>
      </c>
      <c r="K30" s="513">
        <f>K22</f>
        <v/>
      </c>
      <c r="L30" s="513">
        <f>L22</f>
        <v/>
      </c>
      <c r="M30" s="513">
        <f>M22</f>
        <v/>
      </c>
    </row>
    <row r="31">
      <c r="A31" s="111" t="inlineStr">
        <is>
          <t>Amortizaciones</t>
        </is>
      </c>
      <c r="C31" s="513">
        <f>C17</f>
        <v/>
      </c>
      <c r="D31" s="513">
        <f>D17</f>
        <v/>
      </c>
      <c r="E31" s="513">
        <f>E17</f>
        <v/>
      </c>
      <c r="F31" s="513">
        <f>F17</f>
        <v/>
      </c>
      <c r="G31" s="513">
        <f>G17</f>
        <v/>
      </c>
      <c r="H31" s="513">
        <f>H17</f>
        <v/>
      </c>
      <c r="I31" s="513">
        <f>I17</f>
        <v/>
      </c>
      <c r="J31" s="513">
        <f>J17</f>
        <v/>
      </c>
      <c r="K31" s="513">
        <f>K17</f>
        <v/>
      </c>
      <c r="L31" s="513">
        <f>L17</f>
        <v/>
      </c>
      <c r="M31" s="513">
        <f>M17</f>
        <v/>
      </c>
    </row>
    <row r="32">
      <c r="A32" s="111" t="inlineStr">
        <is>
          <t>Remuneración en acciones</t>
        </is>
      </c>
      <c r="C32" s="497">
        <f>'Cash Flow'!M33</f>
        <v/>
      </c>
      <c r="D32" s="497">
        <f>D8*Escenarios!$B$49</f>
        <v/>
      </c>
      <c r="E32" s="497">
        <f>E8*Escenarios!$B$49</f>
        <v/>
      </c>
      <c r="F32" s="497">
        <f>F8*Escenarios!$B$49</f>
        <v/>
      </c>
      <c r="G32" s="497">
        <f>G8*Escenarios!$B$49</f>
        <v/>
      </c>
      <c r="H32" s="497">
        <f>H8*Escenarios!$B$49</f>
        <v/>
      </c>
      <c r="I32" s="497">
        <f>I8*Escenarios!$B$49</f>
        <v/>
      </c>
      <c r="J32" s="497">
        <f>J8*Escenarios!$B$49</f>
        <v/>
      </c>
      <c r="K32" s="497">
        <f>K8*Escenarios!$B$49</f>
        <v/>
      </c>
      <c r="L32" s="497">
        <f>L8*Escenarios!$B$49</f>
        <v/>
      </c>
      <c r="M32" s="497">
        <f>M8*Escenarios!$B$49</f>
        <v/>
      </c>
    </row>
    <row r="33">
      <c r="A33" s="111" t="inlineStr">
        <is>
          <t>Variación del circulante</t>
        </is>
      </c>
      <c r="D33" s="513">
        <f>-(D46-C46)+(D50-C50)</f>
        <v/>
      </c>
      <c r="E33" s="513">
        <f>-(E46-D46)+(E50-D50)</f>
        <v/>
      </c>
      <c r="F33" s="513">
        <f>-(F46-E46)+(F50-E50)</f>
        <v/>
      </c>
      <c r="G33" s="513">
        <f>-(G46-F46)+(G50-F50)</f>
        <v/>
      </c>
      <c r="H33" s="513">
        <f>-(H46-G46)+(H50-G50)</f>
        <v/>
      </c>
      <c r="I33" s="513">
        <f>-(I46-H46)+(I50-H50)</f>
        <v/>
      </c>
      <c r="J33" s="513">
        <f>-(J46-I46)+(J50-I50)</f>
        <v/>
      </c>
      <c r="K33" s="513">
        <f>-(K46-J46)+(K50-J50)</f>
        <v/>
      </c>
      <c r="L33" s="513">
        <f>-(L46-K46)+(L50-K50)</f>
        <v/>
      </c>
      <c r="M33" s="513">
        <f>-(M46-L46)+(M50-L50)</f>
        <v/>
      </c>
    </row>
    <row r="34">
      <c r="A34" s="130" t="inlineStr">
        <is>
          <t>Flujo de caja operativo</t>
        </is>
      </c>
      <c r="C34" s="532">
        <f>'Cash Flow'!M15</f>
        <v/>
      </c>
      <c r="D34" s="533">
        <f>SUM(D30:D33)</f>
        <v/>
      </c>
      <c r="E34" s="533">
        <f>SUM(E30:E33)</f>
        <v/>
      </c>
      <c r="F34" s="533">
        <f>SUM(F30:F33)</f>
        <v/>
      </c>
      <c r="G34" s="533">
        <f>SUM(G30:G33)</f>
        <v/>
      </c>
      <c r="H34" s="533">
        <f>SUM(H30:H33)</f>
        <v/>
      </c>
      <c r="I34" s="533">
        <f>SUM(I30:I33)</f>
        <v/>
      </c>
      <c r="J34" s="533">
        <f>SUM(J30:J33)</f>
        <v/>
      </c>
      <c r="K34" s="533">
        <f>SUM(K30:K33)</f>
        <v/>
      </c>
      <c r="L34" s="533">
        <f>SUM(L30:L33)</f>
        <v/>
      </c>
      <c r="M34" s="533">
        <f>SUM(M30:M33)</f>
        <v/>
      </c>
    </row>
    <row r="35">
      <c r="A35" s="111" t="inlineStr">
        <is>
          <t>Capex</t>
        </is>
      </c>
      <c r="C35" s="497">
        <f>'Cash Flow'!M16</f>
        <v/>
      </c>
      <c r="D35" s="497">
        <f>-D8*Escenarios!$B$48</f>
        <v/>
      </c>
      <c r="E35" s="497">
        <f>-E8*Escenarios!$B$48</f>
        <v/>
      </c>
      <c r="F35" s="497">
        <f>-F8*Escenarios!$B$48</f>
        <v/>
      </c>
      <c r="G35" s="497">
        <f>-G8*Escenarios!$B$48</f>
        <v/>
      </c>
      <c r="H35" s="497">
        <f>-H8*Escenarios!$B$48</f>
        <v/>
      </c>
      <c r="I35" s="497">
        <f>-I8*Escenarios!$B$48</f>
        <v/>
      </c>
      <c r="J35" s="497">
        <f>-J8*Escenarios!$B$48</f>
        <v/>
      </c>
      <c r="K35" s="497">
        <f>-K8*Escenarios!$B$48</f>
        <v/>
      </c>
      <c r="L35" s="497">
        <f>-L8*Escenarios!$B$48</f>
        <v/>
      </c>
      <c r="M35" s="497">
        <f>-M8*Escenarios!$B$48</f>
        <v/>
      </c>
    </row>
    <row r="36">
      <c r="A36" s="130" t="inlineStr">
        <is>
          <t>Flujo de caja libre</t>
        </is>
      </c>
      <c r="C36" s="533">
        <f>C34+C35</f>
        <v/>
      </c>
      <c r="D36" s="533">
        <f>D34+D35</f>
        <v/>
      </c>
      <c r="E36" s="533">
        <f>E34+E35</f>
        <v/>
      </c>
      <c r="F36" s="533">
        <f>F34+F35</f>
        <v/>
      </c>
      <c r="G36" s="533">
        <f>G34+G35</f>
        <v/>
      </c>
      <c r="H36" s="533">
        <f>H34+H35</f>
        <v/>
      </c>
      <c r="I36" s="533">
        <f>I34+I35</f>
        <v/>
      </c>
      <c r="J36" s="533">
        <f>J34+J35</f>
        <v/>
      </c>
      <c r="K36" s="533">
        <f>K34+K35</f>
        <v/>
      </c>
      <c r="L36" s="533">
        <f>L34+L35</f>
        <v/>
      </c>
      <c r="M36" s="533">
        <f>M34+M35</f>
        <v/>
      </c>
    </row>
    <row r="37">
      <c r="A37" s="111" t="inlineStr">
        <is>
          <t>PER supuesto para las recompras</t>
        </is>
      </c>
      <c r="D37" s="499">
        <f>Escenarios!$B$13+(Escenarios!$F$77-Escenarios!$B$13)*(D$5-1)/9</f>
        <v/>
      </c>
      <c r="E37" s="499">
        <f>Escenarios!$B$13+(Escenarios!$F$77-Escenarios!$B$13)*(E$5-1)/9</f>
        <v/>
      </c>
      <c r="F37" s="499">
        <f>Escenarios!$B$13+(Escenarios!$F$77-Escenarios!$B$13)*(F$5-1)/9</f>
        <v/>
      </c>
      <c r="G37" s="499">
        <f>Escenarios!$B$13+(Escenarios!$F$77-Escenarios!$B$13)*(G$5-1)/9</f>
        <v/>
      </c>
      <c r="H37" s="499">
        <f>Escenarios!$B$13+(Escenarios!$F$77-Escenarios!$B$13)*(H$5-1)/9</f>
        <v/>
      </c>
      <c r="I37" s="499">
        <f>Escenarios!$B$13+(Escenarios!$F$77-Escenarios!$B$13)*(I$5-1)/9</f>
        <v/>
      </c>
      <c r="J37" s="499">
        <f>Escenarios!$B$13+(Escenarios!$F$77-Escenarios!$B$13)*(J$5-1)/9</f>
        <v/>
      </c>
      <c r="K37" s="499">
        <f>Escenarios!$B$13+(Escenarios!$F$77-Escenarios!$B$13)*(K$5-1)/9</f>
        <v/>
      </c>
      <c r="L37" s="499">
        <f>Escenarios!$B$13+(Escenarios!$F$77-Escenarios!$B$13)*(L$5-1)/9</f>
        <v/>
      </c>
      <c r="M37" s="499">
        <f>Escenarios!$B$13+(Escenarios!$F$77-Escenarios!$B$13)*(M$5-1)/9</f>
        <v/>
      </c>
    </row>
    <row r="38">
      <c r="A38" s="111" t="inlineStr">
        <is>
          <t>Precio supuesto para las recompras</t>
        </is>
      </c>
      <c r="D38" s="505">
        <f>MAX(C25,0)*D37</f>
        <v/>
      </c>
      <c r="E38" s="505">
        <f>MAX(D25,0)*E37</f>
        <v/>
      </c>
      <c r="F38" s="505">
        <f>MAX(E25,0)*F37</f>
        <v/>
      </c>
      <c r="G38" s="505">
        <f>MAX(F25,0)*G37</f>
        <v/>
      </c>
      <c r="H38" s="505">
        <f>MAX(G25,0)*H37</f>
        <v/>
      </c>
      <c r="I38" s="505">
        <f>MAX(H25,0)*I37</f>
        <v/>
      </c>
      <c r="J38" s="505">
        <f>MAX(I25,0)*J37</f>
        <v/>
      </c>
      <c r="K38" s="505">
        <f>MAX(J25,0)*K37</f>
        <v/>
      </c>
      <c r="L38" s="505">
        <f>MAX(K25,0)*L37</f>
        <v/>
      </c>
      <c r="M38" s="505">
        <f>MAX(L25,0)*M37</f>
        <v/>
      </c>
    </row>
    <row r="39">
      <c r="A39" s="111" t="inlineStr">
        <is>
          <t>Recompra de acciones</t>
        </is>
      </c>
      <c r="C39" s="497">
        <f>'Cash Flow'!M27</f>
        <v/>
      </c>
      <c r="D39" s="497">
        <f>-Escenarios!$F$76*MAX(D36-D22*Escenarios!$B$44,0)</f>
        <v/>
      </c>
      <c r="E39" s="497">
        <f>-Escenarios!$F$76*MAX(E36-E22*Escenarios!$B$44,0)</f>
        <v/>
      </c>
      <c r="F39" s="497">
        <f>-Escenarios!$F$76*MAX(F36-F22*Escenarios!$B$44,0)</f>
        <v/>
      </c>
      <c r="G39" s="497">
        <f>-Escenarios!$F$76*MAX(G36-G22*Escenarios!$B$44,0)</f>
        <v/>
      </c>
      <c r="H39" s="497">
        <f>-Escenarios!$F$76*MAX(H36-H22*Escenarios!$B$44,0)</f>
        <v/>
      </c>
      <c r="I39" s="497">
        <f>-Escenarios!$F$76*MAX(I36-I22*Escenarios!$B$44,0)</f>
        <v/>
      </c>
      <c r="J39" s="497">
        <f>-Escenarios!$F$76*MAX(J36-J22*Escenarios!$B$44,0)</f>
        <v/>
      </c>
      <c r="K39" s="497">
        <f>-Escenarios!$F$76*MAX(K36-K22*Escenarios!$B$44,0)</f>
        <v/>
      </c>
      <c r="L39" s="497">
        <f>-Escenarios!$F$76*MAX(L36-L22*Escenarios!$B$44,0)</f>
        <v/>
      </c>
      <c r="M39" s="497">
        <f>-Escenarios!$F$76*MAX(M36-M22*Escenarios!$B$44,0)</f>
        <v/>
      </c>
    </row>
    <row r="40">
      <c r="A40" s="111" t="inlineStr">
        <is>
          <t>Dividendos pagados</t>
        </is>
      </c>
      <c r="C40" s="497">
        <f>-ABS('Cash Flow'!M29)</f>
        <v/>
      </c>
      <c r="D40" s="497">
        <f>-D22*Escenarios!$B$44*(D22&gt;0)</f>
        <v/>
      </c>
      <c r="E40" s="497">
        <f>-E22*Escenarios!$B$44*(E22&gt;0)</f>
        <v/>
      </c>
      <c r="F40" s="497">
        <f>-F22*Escenarios!$B$44*(F22&gt;0)</f>
        <v/>
      </c>
      <c r="G40" s="497">
        <f>-G22*Escenarios!$B$44*(G22&gt;0)</f>
        <v/>
      </c>
      <c r="H40" s="497">
        <f>-H22*Escenarios!$B$44*(H22&gt;0)</f>
        <v/>
      </c>
      <c r="I40" s="497">
        <f>-I22*Escenarios!$B$44*(I22&gt;0)</f>
        <v/>
      </c>
      <c r="J40" s="497">
        <f>-J22*Escenarios!$B$44*(J22&gt;0)</f>
        <v/>
      </c>
      <c r="K40" s="497">
        <f>-K22*Escenarios!$B$44*(K22&gt;0)</f>
        <v/>
      </c>
      <c r="L40" s="497">
        <f>-L22*Escenarios!$B$44*(L22&gt;0)</f>
        <v/>
      </c>
      <c r="M40" s="497">
        <f>-M22*Escenarios!$B$44*(M22&gt;0)</f>
        <v/>
      </c>
    </row>
    <row r="41">
      <c r="A41" s="111" t="inlineStr">
        <is>
          <t>Variación de deuda</t>
        </is>
      </c>
      <c r="D41" s="513">
        <f>0</f>
        <v/>
      </c>
      <c r="E41" s="513">
        <f>0</f>
        <v/>
      </c>
      <c r="F41" s="513">
        <f>0</f>
        <v/>
      </c>
      <c r="G41" s="513">
        <f>0</f>
        <v/>
      </c>
      <c r="H41" s="513">
        <f>0</f>
        <v/>
      </c>
      <c r="I41" s="513">
        <f>0</f>
        <v/>
      </c>
      <c r="J41" s="513">
        <f>0</f>
        <v/>
      </c>
      <c r="K41" s="513">
        <f>0</f>
        <v/>
      </c>
      <c r="L41" s="513">
        <f>0</f>
        <v/>
      </c>
      <c r="M41" s="513">
        <f>0</f>
        <v/>
      </c>
    </row>
    <row r="42">
      <c r="A42" s="130" t="inlineStr">
        <is>
          <t>Variación de caja</t>
        </is>
      </c>
      <c r="C42" s="154" t="n"/>
      <c r="D42" s="533">
        <f>D36+D39+D40+D41</f>
        <v/>
      </c>
      <c r="E42" s="533">
        <f>E36+E39+E40+E41</f>
        <v/>
      </c>
      <c r="F42" s="533">
        <f>F36+F39+F40+F41</f>
        <v/>
      </c>
      <c r="G42" s="533">
        <f>G36+G39+G40+G41</f>
        <v/>
      </c>
      <c r="H42" s="533">
        <f>H36+H39+H40+H41</f>
        <v/>
      </c>
      <c r="I42" s="533">
        <f>I36+I39+I40+I41</f>
        <v/>
      </c>
      <c r="J42" s="533">
        <f>J36+J39+J40+J41</f>
        <v/>
      </c>
      <c r="K42" s="533">
        <f>K36+K39+K40+K41</f>
        <v/>
      </c>
      <c r="L42" s="533">
        <f>L36+L39+L40+L41</f>
        <v/>
      </c>
      <c r="M42" s="533">
        <f>M36+M39+M40+M41</f>
        <v/>
      </c>
    </row>
    <row r="44">
      <c r="A44" s="119" t="inlineStr">
        <is>
          <t>BALANCE</t>
        </is>
      </c>
      <c r="B44" s="147" t="n"/>
      <c r="C44" s="147" t="n"/>
      <c r="D44" s="147" t="n"/>
      <c r="E44" s="147" t="n"/>
      <c r="F44" s="147" t="n"/>
      <c r="G44" s="147" t="n"/>
      <c r="H44" s="147" t="n"/>
      <c r="I44" s="147" t="n"/>
      <c r="J44" s="147" t="n"/>
      <c r="K44" s="147" t="n"/>
      <c r="L44" s="147" t="n"/>
      <c r="M44" s="147" t="n"/>
    </row>
    <row r="45">
      <c r="A45" s="111" t="inlineStr">
        <is>
          <t>Caja e inversiones a corto</t>
        </is>
      </c>
      <c r="C45" s="497">
        <f>Balance!M5</f>
        <v/>
      </c>
      <c r="D45" s="513">
        <f>C45+D42</f>
        <v/>
      </c>
      <c r="E45" s="513">
        <f>D45+E42</f>
        <v/>
      </c>
      <c r="F45" s="513">
        <f>E45+F42</f>
        <v/>
      </c>
      <c r="G45" s="513">
        <f>F45+G42</f>
        <v/>
      </c>
      <c r="H45" s="513">
        <f>G45+H42</f>
        <v/>
      </c>
      <c r="I45" s="513">
        <f>H45+I42</f>
        <v/>
      </c>
      <c r="J45" s="513">
        <f>I45+J42</f>
        <v/>
      </c>
      <c r="K45" s="513">
        <f>J45+K42</f>
        <v/>
      </c>
      <c r="L45" s="513">
        <f>K45+L42</f>
        <v/>
      </c>
      <c r="M45" s="513">
        <f>L45+M42</f>
        <v/>
      </c>
    </row>
    <row r="46">
      <c r="A46" s="111" t="inlineStr">
        <is>
          <t>Activo circulante operativo</t>
        </is>
      </c>
      <c r="C46" s="497">
        <f>Balance!M6+Balance!M7+Balance!M8+Balance!M9</f>
        <v/>
      </c>
      <c r="D46" s="497">
        <f>D8*Escenarios!$B$51</f>
        <v/>
      </c>
      <c r="E46" s="497">
        <f>E8*Escenarios!$B$51</f>
        <v/>
      </c>
      <c r="F46" s="497">
        <f>F8*Escenarios!$B$51</f>
        <v/>
      </c>
      <c r="G46" s="497">
        <f>G8*Escenarios!$B$51</f>
        <v/>
      </c>
      <c r="H46" s="497">
        <f>H8*Escenarios!$B$51</f>
        <v/>
      </c>
      <c r="I46" s="497">
        <f>I8*Escenarios!$B$51</f>
        <v/>
      </c>
      <c r="J46" s="497">
        <f>J8*Escenarios!$B$51</f>
        <v/>
      </c>
      <c r="K46" s="497">
        <f>K8*Escenarios!$B$51</f>
        <v/>
      </c>
      <c r="L46" s="497">
        <f>L8*Escenarios!$B$51</f>
        <v/>
      </c>
      <c r="M46" s="497">
        <f>M8*Escenarios!$B$51</f>
        <v/>
      </c>
    </row>
    <row r="47">
      <c r="A47" s="111" t="inlineStr">
        <is>
          <t>Activo no corriente</t>
        </is>
      </c>
      <c r="C47" s="497">
        <f>Balance!M15</f>
        <v/>
      </c>
      <c r="D47" s="513">
        <f>C47-D35-D17</f>
        <v/>
      </c>
      <c r="E47" s="513">
        <f>D47-E35-E17</f>
        <v/>
      </c>
      <c r="F47" s="513">
        <f>E47-F35-F17</f>
        <v/>
      </c>
      <c r="G47" s="513">
        <f>F47-G35-G17</f>
        <v/>
      </c>
      <c r="H47" s="513">
        <f>G47-H35-H17</f>
        <v/>
      </c>
      <c r="I47" s="513">
        <f>H47-I35-I17</f>
        <v/>
      </c>
      <c r="J47" s="513">
        <f>I47-J35-J17</f>
        <v/>
      </c>
      <c r="K47" s="513">
        <f>J47-K35-K17</f>
        <v/>
      </c>
      <c r="L47" s="513">
        <f>K47-L35-L17</f>
        <v/>
      </c>
      <c r="M47" s="513">
        <f>L47-M35-M17</f>
        <v/>
      </c>
    </row>
    <row r="48">
      <c r="A48" s="130" t="inlineStr">
        <is>
          <t>Total activo</t>
        </is>
      </c>
      <c r="C48" s="533">
        <f>C45+C46+C47</f>
        <v/>
      </c>
      <c r="D48" s="533">
        <f>D45+D46+D47</f>
        <v/>
      </c>
      <c r="E48" s="533">
        <f>E45+E46+E47</f>
        <v/>
      </c>
      <c r="F48" s="533">
        <f>F45+F46+F47</f>
        <v/>
      </c>
      <c r="G48" s="533">
        <f>G45+G46+G47</f>
        <v/>
      </c>
      <c r="H48" s="533">
        <f>H45+H46+H47</f>
        <v/>
      </c>
      <c r="I48" s="533">
        <f>I45+I46+I47</f>
        <v/>
      </c>
      <c r="J48" s="533">
        <f>J45+J46+J47</f>
        <v/>
      </c>
      <c r="K48" s="533">
        <f>K45+K46+K47</f>
        <v/>
      </c>
      <c r="L48" s="533">
        <f>L45+L46+L47</f>
        <v/>
      </c>
      <c r="M48" s="533">
        <f>M45+M46+M47</f>
        <v/>
      </c>
    </row>
    <row r="50">
      <c r="A50" s="111" t="inlineStr">
        <is>
          <t>Pasivo circulante</t>
        </is>
      </c>
      <c r="C50" s="497">
        <f>Balance!M17</f>
        <v/>
      </c>
      <c r="D50" s="497">
        <f>D8*Escenarios!$B$52</f>
        <v/>
      </c>
      <c r="E50" s="497">
        <f>E8*Escenarios!$B$52</f>
        <v/>
      </c>
      <c r="F50" s="497">
        <f>F8*Escenarios!$B$52</f>
        <v/>
      </c>
      <c r="G50" s="497">
        <f>G8*Escenarios!$B$52</f>
        <v/>
      </c>
      <c r="H50" s="497">
        <f>H8*Escenarios!$B$52</f>
        <v/>
      </c>
      <c r="I50" s="497">
        <f>I8*Escenarios!$B$52</f>
        <v/>
      </c>
      <c r="J50" s="497">
        <f>J8*Escenarios!$B$52</f>
        <v/>
      </c>
      <c r="K50" s="497">
        <f>K8*Escenarios!$B$52</f>
        <v/>
      </c>
      <c r="L50" s="497">
        <f>L8*Escenarios!$B$52</f>
        <v/>
      </c>
      <c r="M50" s="497">
        <f>M8*Escenarios!$B$52</f>
        <v/>
      </c>
    </row>
    <row r="51">
      <c r="A51" s="111" t="inlineStr">
        <is>
          <t>Deuda a largo plazo</t>
        </is>
      </c>
      <c r="C51" s="497">
        <f>Balance!M18</f>
        <v/>
      </c>
      <c r="D51" s="513">
        <f>C51+D41</f>
        <v/>
      </c>
      <c r="E51" s="513">
        <f>D51+E41</f>
        <v/>
      </c>
      <c r="F51" s="513">
        <f>E51+F41</f>
        <v/>
      </c>
      <c r="G51" s="513">
        <f>F51+G41</f>
        <v/>
      </c>
      <c r="H51" s="513">
        <f>G51+H41</f>
        <v/>
      </c>
      <c r="I51" s="513">
        <f>H51+I41</f>
        <v/>
      </c>
      <c r="J51" s="513">
        <f>I51+J41</f>
        <v/>
      </c>
      <c r="K51" s="513">
        <f>J51+K41</f>
        <v/>
      </c>
      <c r="L51" s="513">
        <f>K51+L41</f>
        <v/>
      </c>
      <c r="M51" s="513">
        <f>L51+M41</f>
        <v/>
      </c>
    </row>
    <row r="52">
      <c r="A52" s="111" t="inlineStr">
        <is>
          <t>Otros pasivos a largo plazo</t>
        </is>
      </c>
      <c r="C52" s="497">
        <f>Balance!M20-Balance!M18</f>
        <v/>
      </c>
      <c r="D52" s="513">
        <f>C52</f>
        <v/>
      </c>
      <c r="E52" s="513">
        <f>D52</f>
        <v/>
      </c>
      <c r="F52" s="513">
        <f>E52</f>
        <v/>
      </c>
      <c r="G52" s="513">
        <f>F52</f>
        <v/>
      </c>
      <c r="H52" s="513">
        <f>G52</f>
        <v/>
      </c>
      <c r="I52" s="513">
        <f>H52</f>
        <v/>
      </c>
      <c r="J52" s="513">
        <f>I52</f>
        <v/>
      </c>
      <c r="K52" s="513">
        <f>J52</f>
        <v/>
      </c>
      <c r="L52" s="513">
        <f>K52</f>
        <v/>
      </c>
      <c r="M52" s="513">
        <f>L52</f>
        <v/>
      </c>
    </row>
    <row r="53">
      <c r="A53" s="111" t="inlineStr">
        <is>
          <t>Patrimonio neto</t>
        </is>
      </c>
      <c r="C53" s="497">
        <f>Balance!M26</f>
        <v/>
      </c>
      <c r="D53" s="513">
        <f>C53+D22+D32+D39+D40</f>
        <v/>
      </c>
      <c r="E53" s="513">
        <f>D53+E22+E32+E39+E40</f>
        <v/>
      </c>
      <c r="F53" s="513">
        <f>E53+F22+F32+F39+F40</f>
        <v/>
      </c>
      <c r="G53" s="513">
        <f>F53+G22+G32+G39+G40</f>
        <v/>
      </c>
      <c r="H53" s="513">
        <f>G53+H22+H32+H39+H40</f>
        <v/>
      </c>
      <c r="I53" s="513">
        <f>H53+I22+I32+I39+I40</f>
        <v/>
      </c>
      <c r="J53" s="513">
        <f>I53+J22+J32+J39+J40</f>
        <v/>
      </c>
      <c r="K53" s="513">
        <f>J53+K22+K32+K39+K40</f>
        <v/>
      </c>
      <c r="L53" s="513">
        <f>K53+L22+L32+L39+L40</f>
        <v/>
      </c>
      <c r="M53" s="513">
        <f>L53+M22+M32+M39+M40</f>
        <v/>
      </c>
    </row>
    <row r="54">
      <c r="A54" s="130" t="inlineStr">
        <is>
          <t>Total pasivo y patrimonio</t>
        </is>
      </c>
      <c r="C54" s="533">
        <f>C50+C51+C52+C53</f>
        <v/>
      </c>
      <c r="D54" s="533">
        <f>D50+D51+D52+D53</f>
        <v/>
      </c>
      <c r="E54" s="533">
        <f>E50+E51+E52+E53</f>
        <v/>
      </c>
      <c r="F54" s="533">
        <f>F50+F51+F52+F53</f>
        <v/>
      </c>
      <c r="G54" s="533">
        <f>G50+G51+G52+G53</f>
        <v/>
      </c>
      <c r="H54" s="533">
        <f>H50+H51+H52+H53</f>
        <v/>
      </c>
      <c r="I54" s="533">
        <f>I50+I51+I52+I53</f>
        <v/>
      </c>
      <c r="J54" s="533">
        <f>J50+J51+J52+J53</f>
        <v/>
      </c>
      <c r="K54" s="533">
        <f>K50+K51+K52+K53</f>
        <v/>
      </c>
      <c r="L54" s="533">
        <f>L50+L51+L52+L53</f>
        <v/>
      </c>
      <c r="M54" s="533">
        <f>M50+M51+M52+M53</f>
        <v/>
      </c>
    </row>
    <row r="55">
      <c r="A55" s="111" t="inlineStr">
        <is>
          <t>Comprobación (debe ser 0)</t>
        </is>
      </c>
      <c r="C55" s="513">
        <f>ROUND(C48-C54,3)</f>
        <v/>
      </c>
      <c r="D55" s="513">
        <f>ROUND(D48-D54,3)</f>
        <v/>
      </c>
      <c r="E55" s="513">
        <f>ROUND(E48-E54,3)</f>
        <v/>
      </c>
      <c r="F55" s="513">
        <f>ROUND(F48-F54,3)</f>
        <v/>
      </c>
      <c r="G55" s="513">
        <f>ROUND(G48-G54,3)</f>
        <v/>
      </c>
      <c r="H55" s="513">
        <f>ROUND(H48-H54,3)</f>
        <v/>
      </c>
      <c r="I55" s="513">
        <f>ROUND(I48-I54,3)</f>
        <v/>
      </c>
      <c r="J55" s="513">
        <f>ROUND(J48-J54,3)</f>
        <v/>
      </c>
      <c r="K55" s="513">
        <f>ROUND(K48-K54,3)</f>
        <v/>
      </c>
      <c r="L55" s="513">
        <f>ROUND(L48-L54,3)</f>
        <v/>
      </c>
      <c r="M55" s="513">
        <f>ROUND(M48-M54,3)</f>
        <v/>
      </c>
    </row>
    <row r="57">
      <c r="A57" s="119" t="inlineStr">
        <is>
          <t>RATIOS</t>
        </is>
      </c>
      <c r="B57" s="147" t="n"/>
      <c r="C57" s="147" t="n"/>
      <c r="D57" s="147" t="n"/>
      <c r="E57" s="147" t="n"/>
      <c r="F57" s="147" t="n"/>
      <c r="G57" s="147" t="n"/>
      <c r="H57" s="147" t="n"/>
      <c r="I57" s="147" t="n"/>
      <c r="J57" s="147" t="n"/>
      <c r="K57" s="147" t="n"/>
      <c r="L57" s="147" t="n"/>
      <c r="M57" s="147" t="n"/>
    </row>
    <row r="58">
      <c r="A58" s="119" t="inlineStr">
        <is>
          <t>ROE</t>
        </is>
      </c>
      <c r="B58" s="147" t="n"/>
      <c r="C58" s="538">
        <f>C22/C53</f>
        <v/>
      </c>
      <c r="D58" s="538">
        <f>IFERROR(D22/AVERAGE(C53,D53),0)</f>
        <v/>
      </c>
      <c r="E58" s="538">
        <f>IFERROR(E22/AVERAGE(D53,E53),0)</f>
        <v/>
      </c>
      <c r="F58" s="538">
        <f>IFERROR(F22/AVERAGE(E53,F53),0)</f>
        <v/>
      </c>
      <c r="G58" s="538">
        <f>IFERROR(G22/AVERAGE(F53,G53),0)</f>
        <v/>
      </c>
      <c r="H58" s="538">
        <f>IFERROR(H22/AVERAGE(G53,H53),0)</f>
        <v/>
      </c>
      <c r="I58" s="538">
        <f>IFERROR(I22/AVERAGE(H53,I53),0)</f>
        <v/>
      </c>
      <c r="J58" s="538">
        <f>IFERROR(J22/AVERAGE(I53,J53),0)</f>
        <v/>
      </c>
      <c r="K58" s="538">
        <f>IFERROR(K22/AVERAGE(J53,K53),0)</f>
        <v/>
      </c>
      <c r="L58" s="538">
        <f>IFERROR(L22/AVERAGE(K53,L53),0)</f>
        <v/>
      </c>
      <c r="M58" s="538">
        <f>IFERROR(M22/AVERAGE(L53,M53),0)</f>
        <v/>
      </c>
    </row>
    <row r="59">
      <c r="A59" s="111" t="inlineStr">
        <is>
          <t>Valor contable por acción</t>
        </is>
      </c>
      <c r="C59" s="505">
        <f>C53/C24</f>
        <v/>
      </c>
      <c r="D59" s="505">
        <f>D53/D24</f>
        <v/>
      </c>
      <c r="E59" s="505">
        <f>E53/E24</f>
        <v/>
      </c>
      <c r="F59" s="505">
        <f>F53/F24</f>
        <v/>
      </c>
      <c r="G59" s="505">
        <f>G53/G24</f>
        <v/>
      </c>
      <c r="H59" s="505">
        <f>H53/H24</f>
        <v/>
      </c>
      <c r="I59" s="505">
        <f>I53/I24</f>
        <v/>
      </c>
      <c r="J59" s="505">
        <f>J53/J24</f>
        <v/>
      </c>
      <c r="K59" s="505">
        <f>K53/K24</f>
        <v/>
      </c>
      <c r="L59" s="505">
        <f>L53/L24</f>
        <v/>
      </c>
      <c r="M59" s="505">
        <f>M53/M24</f>
        <v/>
      </c>
    </row>
    <row r="60">
      <c r="A60" s="111" t="inlineStr">
        <is>
          <t>Deuda neta / EBITDA</t>
        </is>
      </c>
      <c r="C60" s="510">
        <f>IF(C18&gt;0,(C51-C45)/C18,"n.a.")</f>
        <v/>
      </c>
      <c r="D60" s="510">
        <f>IF(D18&gt;0,(D51-D45)/D18,"n.a.")</f>
        <v/>
      </c>
      <c r="E60" s="510">
        <f>IF(E18&gt;0,(E51-E45)/E18,"n.a.")</f>
        <v/>
      </c>
      <c r="F60" s="510">
        <f>IF(F18&gt;0,(F51-F45)/F18,"n.a.")</f>
        <v/>
      </c>
      <c r="G60" s="510">
        <f>IF(G18&gt;0,(G51-G45)/G18,"n.a.")</f>
        <v/>
      </c>
      <c r="H60" s="510">
        <f>IF(H18&gt;0,(H51-H45)/H18,"n.a.")</f>
        <v/>
      </c>
      <c r="I60" s="510">
        <f>IF(I18&gt;0,(I51-I45)/I18,"n.a.")</f>
        <v/>
      </c>
      <c r="J60" s="510">
        <f>IF(J18&gt;0,(J51-J45)/J18,"n.a.")</f>
        <v/>
      </c>
      <c r="K60" s="510">
        <f>IF(K18&gt;0,(K51-K45)/K18,"n.a.")</f>
        <v/>
      </c>
      <c r="L60" s="510">
        <f>IF(L18&gt;0,(L51-L45)/L18,"n.a.")</f>
        <v/>
      </c>
      <c r="M60" s="510">
        <f>IF(M18&gt;0,(M51-M45)/M18,"n.a.")</f>
        <v/>
      </c>
    </row>
    <row r="61">
      <c r="A61" s="111" t="inlineStr">
        <is>
          <t>Flujo de caja libre por acción</t>
        </is>
      </c>
      <c r="C61" s="505">
        <f>C36/C24</f>
        <v/>
      </c>
      <c r="D61" s="505">
        <f>D36/D24</f>
        <v/>
      </c>
      <c r="E61" s="505">
        <f>E36/E24</f>
        <v/>
      </c>
      <c r="F61" s="505">
        <f>F36/F24</f>
        <v/>
      </c>
      <c r="G61" s="505">
        <f>G36/G24</f>
        <v/>
      </c>
      <c r="H61" s="505">
        <f>H36/H24</f>
        <v/>
      </c>
      <c r="I61" s="505">
        <f>I36/I24</f>
        <v/>
      </c>
      <c r="J61" s="505">
        <f>J36/J24</f>
        <v/>
      </c>
      <c r="K61" s="505">
        <f>K36/K24</f>
        <v/>
      </c>
      <c r="L61" s="505">
        <f>L36/L24</f>
        <v/>
      </c>
      <c r="M61" s="505">
        <f>M36/M24</f>
        <v/>
      </c>
    </row>
    <row r="62" ht="15.75" customHeight="1" s="377" thickBot="1">
      <c r="A62" s="196" t="inlineStr">
        <is>
          <t>Variación de acciones en el año</t>
        </is>
      </c>
      <c r="B62" s="197" t="n"/>
      <c r="C62" s="198">
        <f>PyG!M27/PyG!L27-1</f>
        <v/>
      </c>
      <c r="D62" s="199">
        <f>D24/C24-1</f>
        <v/>
      </c>
      <c r="E62" s="199">
        <f>E24/D24-1</f>
        <v/>
      </c>
      <c r="F62" s="199">
        <f>F24/E24-1</f>
        <v/>
      </c>
      <c r="G62" s="199">
        <f>G24/F24-1</f>
        <v/>
      </c>
      <c r="H62" s="199">
        <f>H24/G24-1</f>
        <v/>
      </c>
      <c r="I62" s="199">
        <f>I24/H24-1</f>
        <v/>
      </c>
      <c r="J62" s="199">
        <f>J24/I24-1</f>
        <v/>
      </c>
      <c r="K62" s="199">
        <f>K24/J24-1</f>
        <v/>
      </c>
      <c r="L62" s="199">
        <f>L24/K24-1</f>
        <v/>
      </c>
      <c r="M62" s="199">
        <f>M24/L24-1</f>
        <v/>
      </c>
    </row>
    <row r="63" ht="15.75" customHeight="1" s="377" thickTop="1"/>
    <row r="64">
      <c r="A64" s="108" t="inlineStr">
        <is>
          <t>Recompras: la parte del flujo de caja libre (después de dividendos) que indica el escenario. Las acciones bajan en lo recomprado y suben en la remuneración en acciones, al precio que resulta del BPA del año anterior y de un PER que pasa del actual al de salida.</t>
        </is>
      </c>
    </row>
    <row r="65">
      <c r="A65" s="108" t="inlineStr">
        <is>
          <t>Márgenes: pasan en línea recta del último real al del escenario en los años indicados en «Escenarios». El activo no corriente crece con el capex y baja con las amortizaciones. La caja cuadra el balance.</t>
        </is>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M41"/>
  <sheetViews>
    <sheetView topLeftCell="A12" workbookViewId="0">
      <selection activeCell="D41" sqref="D41:M41"/>
    </sheetView>
  </sheetViews>
  <sheetFormatPr baseColWidth="10" defaultRowHeight="15"/>
  <cols>
    <col width="53.28515625" customWidth="1" style="377" min="1" max="1"/>
    <col width="3.85546875" customWidth="1" style="377" min="2" max="2"/>
    <col width="13.28515625" customWidth="1" style="377" min="3" max="13"/>
  </cols>
  <sheetData>
    <row r="1" ht="18.75" customHeight="1" s="377">
      <c r="A1" s="200" t="inlineStr">
        <is>
          <t>ADOBE · ROIC y capital invertido (histórico 2016-2025)</t>
        </is>
      </c>
      <c r="B1" s="201" t="n"/>
      <c r="C1" s="201" t="n"/>
      <c r="D1" s="201" t="n"/>
      <c r="E1" s="201" t="n"/>
      <c r="F1" s="201" t="n"/>
      <c r="G1" s="201" t="n"/>
      <c r="H1" s="201" t="n"/>
      <c r="I1" s="201" t="n"/>
      <c r="J1" s="201" t="n"/>
      <c r="K1" s="201" t="n"/>
      <c r="L1" s="201" t="n"/>
      <c r="M1" s="201" t="n"/>
    </row>
    <row r="2">
      <c r="A2" s="202" t="inlineStr">
        <is>
          <t>Millones de USD. Datos de PyG y Balance. Capital invertido = Deuda a largo plazo + Patrimonio neto − Caja e inversiones a corto.</t>
        </is>
      </c>
      <c r="B2" s="201" t="n"/>
      <c r="C2" s="201" t="n"/>
      <c r="D2" s="201" t="n"/>
      <c r="E2" s="201" t="n"/>
      <c r="F2" s="201" t="n"/>
      <c r="G2" s="201" t="n"/>
      <c r="H2" s="201" t="n"/>
      <c r="I2" s="201" t="n"/>
      <c r="J2" s="201" t="n"/>
      <c r="K2" s="201" t="n"/>
      <c r="L2" s="201" t="n"/>
      <c r="M2" s="201" t="n"/>
    </row>
    <row r="3">
      <c r="A3" s="201" t="n"/>
      <c r="B3" s="201" t="n"/>
      <c r="C3" s="201" t="n"/>
      <c r="D3" s="201" t="n"/>
      <c r="E3" s="201" t="n"/>
      <c r="F3" s="201" t="n"/>
      <c r="G3" s="201" t="n"/>
      <c r="H3" s="201" t="n"/>
      <c r="I3" s="201" t="n"/>
      <c r="J3" s="201" t="n"/>
      <c r="K3" s="201" t="n"/>
      <c r="L3" s="201" t="n"/>
      <c r="M3" s="201" t="n"/>
    </row>
    <row r="4" ht="15.75" customHeight="1" s="377" thickBot="1">
      <c r="A4" s="201" t="n"/>
      <c r="B4" s="201" t="n"/>
      <c r="C4" s="203" t="inlineStr">
        <is>
          <t>Año</t>
        </is>
      </c>
      <c r="D4" s="204">
        <f>PyG!D7</f>
        <v/>
      </c>
      <c r="E4" s="204">
        <f>PyG!E7</f>
        <v/>
      </c>
      <c r="F4" s="204">
        <f>PyG!F7</f>
        <v/>
      </c>
      <c r="G4" s="204">
        <f>PyG!G7</f>
        <v/>
      </c>
      <c r="H4" s="204">
        <f>PyG!H7</f>
        <v/>
      </c>
      <c r="I4" s="204">
        <f>PyG!I7</f>
        <v/>
      </c>
      <c r="J4" s="204">
        <f>PyG!J7</f>
        <v/>
      </c>
      <c r="K4" s="204">
        <f>PyG!K7</f>
        <v/>
      </c>
      <c r="L4" s="204">
        <f>PyG!L7</f>
        <v/>
      </c>
      <c r="M4" s="204">
        <f>PyG!M7</f>
        <v/>
      </c>
    </row>
    <row r="5">
      <c r="A5" s="201" t="n"/>
      <c r="B5" s="201" t="n"/>
      <c r="C5" s="201" t="n"/>
      <c r="D5" s="201" t="n"/>
      <c r="E5" s="201" t="n"/>
      <c r="F5" s="201" t="n"/>
      <c r="G5" s="201" t="n"/>
      <c r="H5" s="201" t="n"/>
      <c r="I5" s="201" t="n"/>
      <c r="J5" s="201" t="n"/>
      <c r="K5" s="201" t="n"/>
      <c r="L5" s="201" t="n"/>
      <c r="M5" s="201" t="n"/>
    </row>
    <row r="6">
      <c r="A6" s="205" t="inlineStr">
        <is>
          <t>CAPITAL INVERTIDO</t>
        </is>
      </c>
      <c r="B6" s="205" t="n"/>
      <c r="C6" s="205" t="n"/>
      <c r="D6" s="205" t="n"/>
      <c r="E6" s="205" t="n"/>
      <c r="F6" s="205" t="n"/>
      <c r="G6" s="205" t="n"/>
      <c r="H6" s="205" t="n"/>
      <c r="I6" s="205" t="n"/>
      <c r="J6" s="205" t="n"/>
      <c r="K6" s="205" t="n"/>
      <c r="L6" s="205" t="n"/>
      <c r="M6" s="205" t="n"/>
    </row>
    <row r="7">
      <c r="A7" s="201" t="inlineStr">
        <is>
          <t>Deuda a largo plazo</t>
        </is>
      </c>
      <c r="B7" s="201" t="n"/>
      <c r="C7" s="201" t="n"/>
      <c r="D7" s="541">
        <f>Balance!D18</f>
        <v/>
      </c>
      <c r="E7" s="541">
        <f>Balance!E18</f>
        <v/>
      </c>
      <c r="F7" s="541">
        <f>Balance!F18</f>
        <v/>
      </c>
      <c r="G7" s="541">
        <f>Balance!G18</f>
        <v/>
      </c>
      <c r="H7" s="541">
        <f>Balance!H18</f>
        <v/>
      </c>
      <c r="I7" s="541">
        <f>Balance!I18</f>
        <v/>
      </c>
      <c r="J7" s="541">
        <f>Balance!J18</f>
        <v/>
      </c>
      <c r="K7" s="541">
        <f>Balance!K18</f>
        <v/>
      </c>
      <c r="L7" s="541">
        <f>Balance!L18</f>
        <v/>
      </c>
      <c r="M7" s="541">
        <f>Balance!M18</f>
        <v/>
      </c>
    </row>
    <row r="8">
      <c r="A8" s="201" t="inlineStr">
        <is>
          <t>Patrimonio neto</t>
        </is>
      </c>
      <c r="B8" s="201" t="n"/>
      <c r="C8" s="201" t="n"/>
      <c r="D8" s="541">
        <f>Balance!D26</f>
        <v/>
      </c>
      <c r="E8" s="541">
        <f>Balance!E26</f>
        <v/>
      </c>
      <c r="F8" s="541">
        <f>Balance!F26</f>
        <v/>
      </c>
      <c r="G8" s="541">
        <f>Balance!G26</f>
        <v/>
      </c>
      <c r="H8" s="541">
        <f>Balance!H26</f>
        <v/>
      </c>
      <c r="I8" s="541">
        <f>Balance!I26</f>
        <v/>
      </c>
      <c r="J8" s="541">
        <f>Balance!J26</f>
        <v/>
      </c>
      <c r="K8" s="541">
        <f>Balance!K26</f>
        <v/>
      </c>
      <c r="L8" s="541">
        <f>Balance!L26</f>
        <v/>
      </c>
      <c r="M8" s="541">
        <f>Balance!M26</f>
        <v/>
      </c>
    </row>
    <row r="9">
      <c r="A9" s="201" t="inlineStr">
        <is>
          <t>(-) Caja e inversiones a corto</t>
        </is>
      </c>
      <c r="B9" s="201" t="n"/>
      <c r="C9" s="201" t="n"/>
      <c r="D9" s="541">
        <f>-Balance!D5</f>
        <v/>
      </c>
      <c r="E9" s="541">
        <f>-Balance!E5</f>
        <v/>
      </c>
      <c r="F9" s="541">
        <f>-Balance!F5</f>
        <v/>
      </c>
      <c r="G9" s="541">
        <f>-Balance!G5</f>
        <v/>
      </c>
      <c r="H9" s="541">
        <f>-Balance!H5</f>
        <v/>
      </c>
      <c r="I9" s="541">
        <f>-Balance!I5</f>
        <v/>
      </c>
      <c r="J9" s="541">
        <f>-Balance!J5</f>
        <v/>
      </c>
      <c r="K9" s="541">
        <f>-Balance!K5</f>
        <v/>
      </c>
      <c r="L9" s="541">
        <f>-Balance!L5</f>
        <v/>
      </c>
      <c r="M9" s="541">
        <f>-Balance!M5</f>
        <v/>
      </c>
    </row>
    <row r="10">
      <c r="A10" s="208" t="inlineStr">
        <is>
          <t>Capital invertido (fin de año)</t>
        </is>
      </c>
      <c r="B10" s="208" t="n"/>
      <c r="C10" s="208" t="n"/>
      <c r="D10" s="542">
        <f>D7+D8+D9</f>
        <v/>
      </c>
      <c r="E10" s="542">
        <f>E7+E8+E9</f>
        <v/>
      </c>
      <c r="F10" s="542">
        <f>F7+F8+F9</f>
        <v/>
      </c>
      <c r="G10" s="542">
        <f>G7+G8+G9</f>
        <v/>
      </c>
      <c r="H10" s="542">
        <f>H7+H8+H9</f>
        <v/>
      </c>
      <c r="I10" s="542">
        <f>I7+I8+I9</f>
        <v/>
      </c>
      <c r="J10" s="542">
        <f>J7+J8+J9</f>
        <v/>
      </c>
      <c r="K10" s="542">
        <f>K7+K8+K9</f>
        <v/>
      </c>
      <c r="L10" s="542">
        <f>L7+L8+L9</f>
        <v/>
      </c>
      <c r="M10" s="542">
        <f>M7+M8+M9</f>
        <v/>
      </c>
    </row>
    <row r="11">
      <c r="A11" s="201" t="inlineStr">
        <is>
          <t>Variación del capital invertido</t>
        </is>
      </c>
      <c r="B11" s="201" t="n"/>
      <c r="C11" s="201" t="n"/>
      <c r="D11" s="541" t="n"/>
      <c r="E11" s="541">
        <f>E10-D10</f>
        <v/>
      </c>
      <c r="F11" s="541">
        <f>F10-E10</f>
        <v/>
      </c>
      <c r="G11" s="541">
        <f>G10-F10</f>
        <v/>
      </c>
      <c r="H11" s="541">
        <f>H10-G10</f>
        <v/>
      </c>
      <c r="I11" s="541">
        <f>I10-H10</f>
        <v/>
      </c>
      <c r="J11" s="541">
        <f>J10-I10</f>
        <v/>
      </c>
      <c r="K11" s="541">
        <f>K10-J10</f>
        <v/>
      </c>
      <c r="L11" s="541">
        <f>L10-K10</f>
        <v/>
      </c>
      <c r="M11" s="541">
        <f>M10-L10</f>
        <v/>
      </c>
    </row>
    <row r="12">
      <c r="A12" s="201" t="n"/>
      <c r="B12" s="201" t="n"/>
      <c r="C12" s="201" t="n"/>
      <c r="D12" s="201" t="n"/>
      <c r="E12" s="201" t="n"/>
      <c r="F12" s="201" t="n"/>
      <c r="G12" s="201" t="n"/>
      <c r="H12" s="201" t="n"/>
      <c r="I12" s="201" t="n"/>
      <c r="J12" s="201" t="n"/>
      <c r="K12" s="201" t="n"/>
      <c r="L12" s="201" t="n"/>
      <c r="M12" s="201" t="n"/>
    </row>
    <row r="13">
      <c r="A13" s="205" t="inlineStr">
        <is>
          <t>RENTABILIDAD SOBRE EL CAPITAL INVERTIDO (ROIC)</t>
        </is>
      </c>
      <c r="B13" s="205" t="n"/>
      <c r="C13" s="205" t="n"/>
      <c r="D13" s="205" t="n"/>
      <c r="E13" s="205" t="n"/>
      <c r="F13" s="205" t="n"/>
      <c r="G13" s="205" t="n"/>
      <c r="H13" s="205" t="n"/>
      <c r="I13" s="205" t="n"/>
      <c r="J13" s="205" t="n"/>
      <c r="K13" s="205" t="n"/>
      <c r="L13" s="205" t="n"/>
      <c r="M13" s="205" t="n"/>
    </row>
    <row r="14">
      <c r="A14" s="201" t="inlineStr">
        <is>
          <t>EBIT (resultado operativo)</t>
        </is>
      </c>
      <c r="B14" s="201" t="n"/>
      <c r="C14" s="201" t="n"/>
      <c r="D14" s="541">
        <f>PyG!D15</f>
        <v/>
      </c>
      <c r="E14" s="541">
        <f>PyG!E15</f>
        <v/>
      </c>
      <c r="F14" s="541">
        <f>PyG!F15</f>
        <v/>
      </c>
      <c r="G14" s="541">
        <f>PyG!G15</f>
        <v/>
      </c>
      <c r="H14" s="541">
        <f>PyG!H15</f>
        <v/>
      </c>
      <c r="I14" s="541">
        <f>PyG!I15</f>
        <v/>
      </c>
      <c r="J14" s="541">
        <f>PyG!J15</f>
        <v/>
      </c>
      <c r="K14" s="541">
        <f>PyG!K15</f>
        <v/>
      </c>
      <c r="L14" s="541">
        <f>PyG!L15</f>
        <v/>
      </c>
      <c r="M14" s="541">
        <f>PyG!M15</f>
        <v/>
      </c>
    </row>
    <row r="15">
      <c r="A15" s="201" t="inlineStr">
        <is>
          <t>Tasa impositiva efectiva</t>
        </is>
      </c>
      <c r="B15" s="201" t="n"/>
      <c r="C15" s="201" t="n"/>
      <c r="D15" s="543">
        <f>PyG!D18/PyG!D17</f>
        <v/>
      </c>
      <c r="E15" s="543">
        <f>PyG!E18/PyG!E17</f>
        <v/>
      </c>
      <c r="F15" s="543">
        <f>PyG!F18/PyG!F17</f>
        <v/>
      </c>
      <c r="G15" s="543">
        <f>PyG!G18/PyG!G17</f>
        <v/>
      </c>
      <c r="H15" s="543">
        <f>PyG!H18/PyG!H17</f>
        <v/>
      </c>
      <c r="I15" s="543">
        <f>PyG!I18/PyG!I17</f>
        <v/>
      </c>
      <c r="J15" s="543">
        <f>PyG!J18/PyG!J17</f>
        <v/>
      </c>
      <c r="K15" s="543">
        <f>PyG!K18/PyG!K17</f>
        <v/>
      </c>
      <c r="L15" s="543">
        <f>PyG!L18/PyG!L17</f>
        <v/>
      </c>
      <c r="M15" s="543">
        <f>PyG!M18/PyG!M17</f>
        <v/>
      </c>
    </row>
    <row r="16">
      <c r="A16" s="208" t="inlineStr">
        <is>
          <t>NOPAT (EBIT después de impuestos)</t>
        </is>
      </c>
      <c r="B16" s="208" t="n"/>
      <c r="C16" s="208" t="n"/>
      <c r="D16" s="542">
        <f>D14*(1-D15)</f>
        <v/>
      </c>
      <c r="E16" s="542">
        <f>E14*(1-E15)</f>
        <v/>
      </c>
      <c r="F16" s="542">
        <f>F14*(1-F15)</f>
        <v/>
      </c>
      <c r="G16" s="542">
        <f>G14*(1-G15)</f>
        <v/>
      </c>
      <c r="H16" s="542">
        <f>H14*(1-H15)</f>
        <v/>
      </c>
      <c r="I16" s="542">
        <f>I14*(1-I15)</f>
        <v/>
      </c>
      <c r="J16" s="542">
        <f>J14*(1-J15)</f>
        <v/>
      </c>
      <c r="K16" s="542">
        <f>K14*(1-K15)</f>
        <v/>
      </c>
      <c r="L16" s="542">
        <f>L14*(1-L15)</f>
        <v/>
      </c>
      <c r="M16" s="542">
        <f>M14*(1-M15)</f>
        <v/>
      </c>
    </row>
    <row r="17">
      <c r="A17" s="201" t="inlineStr">
        <is>
          <t>Capital invertido medio (inicio+fin / 2)</t>
        </is>
      </c>
      <c r="B17" s="201" t="n"/>
      <c r="C17" s="201" t="n"/>
      <c r="D17" s="541">
        <f>D10</f>
        <v/>
      </c>
      <c r="E17" s="541">
        <f>AVERAGE(D10:E10)</f>
        <v/>
      </c>
      <c r="F17" s="541">
        <f>AVERAGE(E10:F10)</f>
        <v/>
      </c>
      <c r="G17" s="541">
        <f>AVERAGE(F10:G10)</f>
        <v/>
      </c>
      <c r="H17" s="541">
        <f>AVERAGE(G10:H10)</f>
        <v/>
      </c>
      <c r="I17" s="541">
        <f>AVERAGE(H10:I10)</f>
        <v/>
      </c>
      <c r="J17" s="541">
        <f>AVERAGE(I10:J10)</f>
        <v/>
      </c>
      <c r="K17" s="541">
        <f>AVERAGE(J10:K10)</f>
        <v/>
      </c>
      <c r="L17" s="541">
        <f>AVERAGE(K10:L10)</f>
        <v/>
      </c>
      <c r="M17" s="541">
        <f>AVERAGE(L10:M10)</f>
        <v/>
      </c>
    </row>
    <row r="18">
      <c r="A18" s="210" t="inlineStr">
        <is>
          <t>ROIC = NOPAT / Capital invertido medio</t>
        </is>
      </c>
      <c r="B18" s="210" t="n"/>
      <c r="C18" s="210" t="n"/>
      <c r="D18" s="544">
        <f>D16/D17</f>
        <v/>
      </c>
      <c r="E18" s="544">
        <f>E16/E17</f>
        <v/>
      </c>
      <c r="F18" s="544">
        <f>F16/F17</f>
        <v/>
      </c>
      <c r="G18" s="544">
        <f>G16/G17</f>
        <v/>
      </c>
      <c r="H18" s="544">
        <f>H16/H17</f>
        <v/>
      </c>
      <c r="I18" s="544">
        <f>I16/I17</f>
        <v/>
      </c>
      <c r="J18" s="544">
        <f>J16/J17</f>
        <v/>
      </c>
      <c r="K18" s="544">
        <f>K16/K17</f>
        <v/>
      </c>
      <c r="L18" s="544">
        <f>L16/L17</f>
        <v/>
      </c>
      <c r="M18" s="544">
        <f>M16/M17</f>
        <v/>
      </c>
    </row>
    <row r="19">
      <c r="A19" s="210" t="inlineStr">
        <is>
          <t>Capital invertido medio / NOPAT (%)</t>
        </is>
      </c>
      <c r="B19" s="210" t="n"/>
      <c r="C19" s="210" t="n"/>
      <c r="D19" s="215">
        <f>D17/D16</f>
        <v/>
      </c>
      <c r="E19" s="215">
        <f>E17/E16</f>
        <v/>
      </c>
      <c r="F19" s="215">
        <f>F17/F16</f>
        <v/>
      </c>
      <c r="G19" s="215">
        <f>G17/G16</f>
        <v/>
      </c>
      <c r="H19" s="215">
        <f>H17/H16</f>
        <v/>
      </c>
      <c r="I19" s="215">
        <f>I17/I16</f>
        <v/>
      </c>
      <c r="J19" s="215">
        <f>J17/J16</f>
        <v/>
      </c>
      <c r="K19" s="215">
        <f>K17/K16</f>
        <v/>
      </c>
      <c r="L19" s="215">
        <f>L17/L16</f>
        <v/>
      </c>
      <c r="M19" s="215">
        <f>M17/M16</f>
        <v/>
      </c>
    </row>
    <row r="20">
      <c r="A20" s="201" t="n"/>
      <c r="B20" s="201" t="n"/>
      <c r="C20" s="201" t="n"/>
      <c r="D20" s="201" t="n"/>
      <c r="E20" s="201" t="n"/>
      <c r="F20" s="201" t="n"/>
      <c r="G20" s="201" t="n"/>
      <c r="H20" s="201" t="n"/>
      <c r="I20" s="201" t="n"/>
      <c r="J20" s="201" t="n"/>
      <c r="K20" s="201" t="n"/>
      <c r="L20" s="201" t="n"/>
      <c r="M20" s="201" t="n"/>
    </row>
    <row r="21">
      <c r="A21" s="216" t="inlineStr">
        <is>
          <t>CRECIMIENTO Y ROIC INCREMENTAL</t>
        </is>
      </c>
      <c r="B21" s="216" t="n"/>
      <c r="C21" s="216" t="n"/>
      <c r="D21" s="216" t="n"/>
      <c r="E21" s="216" t="n"/>
      <c r="F21" s="216" t="n"/>
      <c r="G21" s="216" t="n"/>
      <c r="H21" s="216" t="n"/>
      <c r="I21" s="216" t="n"/>
      <c r="J21" s="216" t="n"/>
      <c r="K21" s="216" t="n"/>
      <c r="L21" s="216" t="n"/>
      <c r="M21" s="216" t="n"/>
    </row>
    <row r="22">
      <c r="A22" s="210" t="inlineStr">
        <is>
          <t>Crecimiento del NOPAT ($)</t>
        </is>
      </c>
      <c r="B22" s="201" t="n"/>
      <c r="C22" s="201" t="n"/>
      <c r="D22" s="541" t="n"/>
      <c r="E22" s="541">
        <f>E16-D16</f>
        <v/>
      </c>
      <c r="F22" s="541">
        <f>F16-E16</f>
        <v/>
      </c>
      <c r="G22" s="541">
        <f>G16-F16</f>
        <v/>
      </c>
      <c r="H22" s="541">
        <f>H16-G16</f>
        <v/>
      </c>
      <c r="I22" s="541">
        <f>I16-H16</f>
        <v/>
      </c>
      <c r="J22" s="541">
        <f>J16-I16</f>
        <v/>
      </c>
      <c r="K22" s="541">
        <f>K16-J16</f>
        <v/>
      </c>
      <c r="L22" s="541">
        <f>L16-K16</f>
        <v/>
      </c>
      <c r="M22" s="541">
        <f>M16-L16</f>
        <v/>
      </c>
    </row>
    <row r="23">
      <c r="A23" s="210" t="inlineStr">
        <is>
          <t>Crecimiento del NOPAT (%)</t>
        </is>
      </c>
      <c r="B23" s="201" t="n"/>
      <c r="C23" s="201" t="n"/>
      <c r="D23" s="543" t="n"/>
      <c r="E23" s="543">
        <f>IFERROR(E16/D16-1,"n.a.")</f>
        <v/>
      </c>
      <c r="F23" s="543">
        <f>IFERROR(F16/E16-1,"n.a.")</f>
        <v/>
      </c>
      <c r="G23" s="543">
        <f>IFERROR(G16/F16-1,"n.a.")</f>
        <v/>
      </c>
      <c r="H23" s="543">
        <f>IFERROR(H16/G16-1,"n.a.")</f>
        <v/>
      </c>
      <c r="I23" s="543">
        <f>IFERROR(I16/H16-1,"n.a.")</f>
        <v/>
      </c>
      <c r="J23" s="543">
        <f>IFERROR(J16/I16-1,"n.a.")</f>
        <v/>
      </c>
      <c r="K23" s="543">
        <f>IFERROR(K16/J16-1,"n.a.")</f>
        <v/>
      </c>
      <c r="L23" s="543">
        <f>IFERROR(L16/K16-1,"n.a.")</f>
        <v/>
      </c>
      <c r="M23" s="543">
        <f>IFERROR(M16/L16-1,"n.a.")</f>
        <v/>
      </c>
    </row>
    <row r="24">
      <c r="A24" s="210" t="inlineStr">
        <is>
          <t>Incremento del capital invertido ($)</t>
        </is>
      </c>
      <c r="B24" s="201" t="n"/>
      <c r="C24" s="201" t="n"/>
      <c r="D24" s="541" t="n"/>
      <c r="E24" s="541">
        <f>E11</f>
        <v/>
      </c>
      <c r="F24" s="541">
        <f>F11</f>
        <v/>
      </c>
      <c r="G24" s="541">
        <f>G11</f>
        <v/>
      </c>
      <c r="H24" s="541">
        <f>H11</f>
        <v/>
      </c>
      <c r="I24" s="541">
        <f>I11</f>
        <v/>
      </c>
      <c r="J24" s="541">
        <f>J11</f>
        <v/>
      </c>
      <c r="K24" s="541">
        <f>K11</f>
        <v/>
      </c>
      <c r="L24" s="541">
        <f>L11</f>
        <v/>
      </c>
      <c r="M24" s="541">
        <f>M11</f>
        <v/>
      </c>
    </row>
    <row r="25">
      <c r="A25" s="210" t="inlineStr">
        <is>
          <t>ROIC histórico (referencia)</t>
        </is>
      </c>
      <c r="B25" s="210" t="n"/>
      <c r="C25" s="210" t="n"/>
      <c r="D25" s="544">
        <f>D18</f>
        <v/>
      </c>
      <c r="E25" s="544">
        <f>E18</f>
        <v/>
      </c>
      <c r="F25" s="544">
        <f>F18</f>
        <v/>
      </c>
      <c r="G25" s="544">
        <f>G18</f>
        <v/>
      </c>
      <c r="H25" s="544">
        <f>H18</f>
        <v/>
      </c>
      <c r="I25" s="544">
        <f>I18</f>
        <v/>
      </c>
      <c r="J25" s="544">
        <f>J18</f>
        <v/>
      </c>
      <c r="K25" s="544">
        <f>K18</f>
        <v/>
      </c>
      <c r="L25" s="544">
        <f>L18</f>
        <v/>
      </c>
      <c r="M25" s="544">
        <f>M18</f>
        <v/>
      </c>
    </row>
    <row r="26" ht="15.75" customHeight="1" s="377" thickBot="1">
      <c r="A26" s="212" t="inlineStr">
        <is>
          <t>ROIC incremental = ΔNOPAT / ΔCapital invertido</t>
        </is>
      </c>
      <c r="B26" s="212" t="n"/>
      <c r="C26" s="212" t="n"/>
      <c r="D26" s="545" t="n"/>
      <c r="E26" s="545">
        <f>IFERROR(E22/E24,"n.a.")</f>
        <v/>
      </c>
      <c r="F26" s="545">
        <f>IFERROR(F22/F24,"n.a.")</f>
        <v/>
      </c>
      <c r="G26" s="545">
        <f>IFERROR(G22/G24,"n.a.")</f>
        <v/>
      </c>
      <c r="H26" s="545">
        <f>IFERROR(H22/H24,"n.a.")</f>
        <v/>
      </c>
      <c r="I26" s="545">
        <f>IFERROR(I22/I24,"n.a.")</f>
        <v/>
      </c>
      <c r="J26" s="545">
        <f>IFERROR(J22/J24,"n.a.")</f>
        <v/>
      </c>
      <c r="K26" s="545">
        <f>IFERROR(K22/K24,"n.a.")</f>
        <v/>
      </c>
      <c r="L26" s="545">
        <f>IFERROR(L22/L24,"n.a.")</f>
        <v/>
      </c>
      <c r="M26" s="545">
        <f>IFERROR(M22/M24,"n.a.")</f>
        <v/>
      </c>
    </row>
    <row r="27" ht="15.75" customHeight="1" s="377" thickTop="1"/>
    <row r="29">
      <c r="A29" s="216" t="inlineStr">
        <is>
          <t>AJUSTE: CAPITALIZACIÓN DEL I+D (ROIC NORMALIZADO)</t>
        </is>
      </c>
      <c r="B29" s="216" t="n"/>
      <c r="C29" s="216" t="n"/>
      <c r="D29" s="216" t="n"/>
      <c r="E29" s="216" t="n"/>
      <c r="F29" s="216" t="n"/>
      <c r="G29" s="216" t="n"/>
      <c r="H29" s="216" t="n"/>
      <c r="I29" s="216" t="n"/>
      <c r="J29" s="216" t="n"/>
      <c r="K29" s="216" t="n"/>
      <c r="L29" s="216" t="n"/>
      <c r="M29" s="216" t="n"/>
    </row>
    <row r="30">
      <c r="A30" s="210" t="inlineStr">
        <is>
          <t>Vida útil estimada del I+D capitalizado (años)</t>
        </is>
      </c>
      <c r="B30" s="217" t="n">
        <v>5</v>
      </c>
      <c r="C30" s="201" t="n"/>
      <c r="D30" s="201" t="n"/>
      <c r="E30" s="201" t="n"/>
      <c r="F30" s="201" t="n"/>
      <c r="G30" s="201" t="n"/>
      <c r="H30" s="201" t="n"/>
      <c r="I30" s="201" t="n"/>
      <c r="J30" s="201" t="n"/>
      <c r="K30" s="201" t="n"/>
      <c r="L30" s="201" t="n"/>
      <c r="M30" s="201" t="n"/>
    </row>
    <row r="31">
      <c r="A31" s="201" t="n"/>
      <c r="B31" s="201" t="n"/>
      <c r="C31" s="201" t="n"/>
      <c r="D31" s="201" t="n"/>
      <c r="E31" s="201" t="n"/>
      <c r="F31" s="201" t="n"/>
      <c r="G31" s="201" t="n"/>
      <c r="H31" s="201" t="n"/>
      <c r="I31" s="201" t="n"/>
      <c r="J31" s="201" t="n"/>
      <c r="K31" s="201" t="n"/>
      <c r="L31" s="201" t="n"/>
      <c r="M31" s="201" t="n"/>
    </row>
    <row r="32">
      <c r="A32" s="201" t="inlineStr">
        <is>
          <t>Gasto en I+D (reportado)</t>
        </is>
      </c>
      <c r="B32" s="201" t="n"/>
      <c r="C32" s="201" t="n"/>
      <c r="D32" s="541">
        <f>PyG!D11</f>
        <v/>
      </c>
      <c r="E32" s="541">
        <f>PyG!E11</f>
        <v/>
      </c>
      <c r="F32" s="541">
        <f>PyG!F11</f>
        <v/>
      </c>
      <c r="G32" s="541">
        <f>PyG!G11</f>
        <v/>
      </c>
      <c r="H32" s="541">
        <f>PyG!H11</f>
        <v/>
      </c>
      <c r="I32" s="541">
        <f>PyG!I11</f>
        <v/>
      </c>
      <c r="J32" s="541">
        <f>PyG!J11</f>
        <v/>
      </c>
      <c r="K32" s="541">
        <f>PyG!K11</f>
        <v/>
      </c>
      <c r="L32" s="541">
        <f>PyG!L11</f>
        <v/>
      </c>
      <c r="M32" s="541">
        <f>PyG!M11</f>
        <v/>
      </c>
    </row>
    <row r="33">
      <c r="A33" s="201" t="inlineStr">
        <is>
          <t>Amortización del I+D capitalizado</t>
        </is>
      </c>
      <c r="B33" s="201" t="n"/>
      <c r="C33" s="201" t="n"/>
      <c r="D33" s="541">
        <f>SUM(OFFSET(D32,0,-MIN($B$30-1,COLUMN()-COLUMN($D$32)),1,MIN($B$30,COLUMN()-COLUMN($D$32)+1)))/$B$30</f>
        <v/>
      </c>
      <c r="E33" s="541">
        <f>SUM(OFFSET(E32,0,-MIN($B$30-1,COLUMN()-COLUMN($D$32)),1,MIN($B$30,COLUMN()-COLUMN($D$32)+1)))/$B$30</f>
        <v/>
      </c>
      <c r="F33" s="541">
        <f>SUM(OFFSET(F32,0,-MIN($B$30-1,COLUMN()-COLUMN($D$32)),1,MIN($B$30,COLUMN()-COLUMN($D$32)+1)))/$B$30</f>
        <v/>
      </c>
      <c r="G33" s="541">
        <f>SUM(OFFSET(G32,0,-MIN($B$30-1,COLUMN()-COLUMN($D$32)),1,MIN($B$30,COLUMN()-COLUMN($D$32)+1)))/$B$30</f>
        <v/>
      </c>
      <c r="H33" s="541">
        <f>SUM(OFFSET(H32,0,-MIN($B$30-1,COLUMN()-COLUMN($D$32)),1,MIN($B$30,COLUMN()-COLUMN($D$32)+1)))/$B$30</f>
        <v/>
      </c>
      <c r="I33" s="541">
        <f>SUM(OFFSET(I32,0,-MIN($B$30-1,COLUMN()-COLUMN($D$32)),1,MIN($B$30,COLUMN()-COLUMN($D$32)+1)))/$B$30</f>
        <v/>
      </c>
      <c r="J33" s="541">
        <f>SUM(OFFSET(J32,0,-MIN($B$30-1,COLUMN()-COLUMN($D$32)),1,MIN($B$30,COLUMN()-COLUMN($D$32)+1)))/$B$30</f>
        <v/>
      </c>
      <c r="K33" s="541">
        <f>SUM(OFFSET(K32,0,-MIN($B$30-1,COLUMN()-COLUMN($D$32)),1,MIN($B$30,COLUMN()-COLUMN($D$32)+1)))/$B$30</f>
        <v/>
      </c>
      <c r="L33" s="541">
        <f>SUM(OFFSET(L32,0,-MIN($B$30-1,COLUMN()-COLUMN($D$32)),1,MIN($B$30,COLUMN()-COLUMN($D$32)+1)))/$B$30</f>
        <v/>
      </c>
      <c r="M33" s="541">
        <f>SUM(OFFSET(M32,0,-MIN($B$30-1,COLUMN()-COLUMN($D$32)),1,MIN($B$30,COLUMN()-COLUMN($D$32)+1)))/$B$30</f>
        <v/>
      </c>
    </row>
    <row r="34">
      <c r="A34" s="201" t="inlineStr">
        <is>
          <t>Ajuste al EBIT (I+D − amortización)</t>
        </is>
      </c>
      <c r="B34" s="201" t="n"/>
      <c r="C34" s="201" t="n"/>
      <c r="D34" s="541">
        <f>D32-D33</f>
        <v/>
      </c>
      <c r="E34" s="541">
        <f>E32-E33</f>
        <v/>
      </c>
      <c r="F34" s="541">
        <f>F32-F33</f>
        <v/>
      </c>
      <c r="G34" s="541">
        <f>G32-G33</f>
        <v/>
      </c>
      <c r="H34" s="541">
        <f>H32-H33</f>
        <v/>
      </c>
      <c r="I34" s="541">
        <f>I32-I33</f>
        <v/>
      </c>
      <c r="J34" s="541">
        <f>J32-J33</f>
        <v/>
      </c>
      <c r="K34" s="541">
        <f>K32-K33</f>
        <v/>
      </c>
      <c r="L34" s="541">
        <f>L32-L33</f>
        <v/>
      </c>
      <c r="M34" s="541">
        <f>M32-M33</f>
        <v/>
      </c>
    </row>
    <row r="35">
      <c r="A35" s="210" t="inlineStr">
        <is>
          <t>EBIT ajustado</t>
        </is>
      </c>
      <c r="B35" s="210" t="n"/>
      <c r="C35" s="210" t="n"/>
      <c r="D35" s="546">
        <f>D14+D34</f>
        <v/>
      </c>
      <c r="E35" s="546">
        <f>E14+E34</f>
        <v/>
      </c>
      <c r="F35" s="546">
        <f>F14+F34</f>
        <v/>
      </c>
      <c r="G35" s="546">
        <f>G14+G34</f>
        <v/>
      </c>
      <c r="H35" s="546">
        <f>H14+H34</f>
        <v/>
      </c>
      <c r="I35" s="546">
        <f>I14+I34</f>
        <v/>
      </c>
      <c r="J35" s="546">
        <f>J14+J34</f>
        <v/>
      </c>
      <c r="K35" s="546">
        <f>K14+K34</f>
        <v/>
      </c>
      <c r="L35" s="546">
        <f>L14+L34</f>
        <v/>
      </c>
      <c r="M35" s="546">
        <f>M14+M34</f>
        <v/>
      </c>
    </row>
    <row r="36">
      <c r="A36" s="210" t="inlineStr">
        <is>
          <t>NOPAT ajustado</t>
        </is>
      </c>
      <c r="B36" s="210" t="n"/>
      <c r="C36" s="210" t="n"/>
      <c r="D36" s="546">
        <f>D35*(1-D15)</f>
        <v/>
      </c>
      <c r="E36" s="546">
        <f>E35*(1-E15)</f>
        <v/>
      </c>
      <c r="F36" s="546">
        <f>F35*(1-F15)</f>
        <v/>
      </c>
      <c r="G36" s="546">
        <f>G35*(1-G15)</f>
        <v/>
      </c>
      <c r="H36" s="546">
        <f>H35*(1-H15)</f>
        <v/>
      </c>
      <c r="I36" s="546">
        <f>I35*(1-I15)</f>
        <v/>
      </c>
      <c r="J36" s="546">
        <f>J35*(1-J15)</f>
        <v/>
      </c>
      <c r="K36" s="546">
        <f>K35*(1-K15)</f>
        <v/>
      </c>
      <c r="L36" s="546">
        <f>L35*(1-L15)</f>
        <v/>
      </c>
      <c r="M36" s="546">
        <f>M35*(1-M15)</f>
        <v/>
      </c>
    </row>
    <row r="37">
      <c r="A37" s="201" t="n"/>
      <c r="B37" s="201" t="n"/>
      <c r="C37" s="201" t="n"/>
      <c r="D37" s="201" t="n"/>
      <c r="E37" s="201" t="n"/>
      <c r="F37" s="201" t="n"/>
      <c r="G37" s="201" t="n"/>
      <c r="H37" s="201" t="n"/>
      <c r="I37" s="201" t="n"/>
      <c r="J37" s="201" t="n"/>
      <c r="K37" s="201" t="n"/>
      <c r="L37" s="201" t="n"/>
      <c r="M37" s="201" t="n"/>
    </row>
    <row r="38">
      <c r="A38" s="201" t="inlineStr">
        <is>
          <t>Activo de I+D capitalizado (saldo neto)</t>
        </is>
      </c>
      <c r="B38" s="201" t="n"/>
      <c r="C38" s="201" t="n"/>
      <c r="D38" s="541">
        <f>D32-D33</f>
        <v/>
      </c>
      <c r="E38" s="541">
        <f>D38+E32-E33</f>
        <v/>
      </c>
      <c r="F38" s="541">
        <f>E38+F32-F33</f>
        <v/>
      </c>
      <c r="G38" s="541">
        <f>F38+G32-G33</f>
        <v/>
      </c>
      <c r="H38" s="541">
        <f>G38+H32-H33</f>
        <v/>
      </c>
      <c r="I38" s="541">
        <f>H38+I32-I33</f>
        <v/>
      </c>
      <c r="J38" s="541">
        <f>I38+J32-J33</f>
        <v/>
      </c>
      <c r="K38" s="541">
        <f>J38+K32-K33</f>
        <v/>
      </c>
      <c r="L38" s="541">
        <f>K38+L32-L33</f>
        <v/>
      </c>
      <c r="M38" s="541">
        <f>L38+M32-M33</f>
        <v/>
      </c>
    </row>
    <row r="39">
      <c r="A39" s="210" t="inlineStr">
        <is>
          <t>Capital invertido ajustado (fin de año)</t>
        </is>
      </c>
      <c r="B39" s="210" t="n"/>
      <c r="C39" s="210" t="n"/>
      <c r="D39" s="546">
        <f>D10+D38</f>
        <v/>
      </c>
      <c r="E39" s="546">
        <f>E10+E38</f>
        <v/>
      </c>
      <c r="F39" s="546">
        <f>F10+F38</f>
        <v/>
      </c>
      <c r="G39" s="546">
        <f>G10+G38</f>
        <v/>
      </c>
      <c r="H39" s="546">
        <f>H10+H38</f>
        <v/>
      </c>
      <c r="I39" s="546">
        <f>I10+I38</f>
        <v/>
      </c>
      <c r="J39" s="546">
        <f>J10+J38</f>
        <v/>
      </c>
      <c r="K39" s="546">
        <f>K10+K38</f>
        <v/>
      </c>
      <c r="L39" s="546">
        <f>L10+L38</f>
        <v/>
      </c>
      <c r="M39" s="546">
        <f>M10+M38</f>
        <v/>
      </c>
    </row>
    <row r="40">
      <c r="A40" s="201" t="inlineStr">
        <is>
          <t>Capital invertido ajustado medio</t>
        </is>
      </c>
      <c r="B40" s="201" t="n"/>
      <c r="C40" s="201" t="n"/>
      <c r="D40" s="541">
        <f>D39</f>
        <v/>
      </c>
      <c r="E40" s="541">
        <f>AVERAGE(D39:E39)</f>
        <v/>
      </c>
      <c r="F40" s="541">
        <f>AVERAGE(E39:F39)</f>
        <v/>
      </c>
      <c r="G40" s="541">
        <f>AVERAGE(F39:G39)</f>
        <v/>
      </c>
      <c r="H40" s="541">
        <f>AVERAGE(G39:H39)</f>
        <v/>
      </c>
      <c r="I40" s="541">
        <f>AVERAGE(H39:I39)</f>
        <v/>
      </c>
      <c r="J40" s="541">
        <f>AVERAGE(I39:J39)</f>
        <v/>
      </c>
      <c r="K40" s="541">
        <f>AVERAGE(J39:K39)</f>
        <v/>
      </c>
      <c r="L40" s="541">
        <f>AVERAGE(K39:L39)</f>
        <v/>
      </c>
      <c r="M40" s="541">
        <f>AVERAGE(L39:M39)</f>
        <v/>
      </c>
    </row>
    <row r="41" ht="15.75" customHeight="1" s="377" thickBot="1">
      <c r="A41" s="212" t="inlineStr">
        <is>
          <t>ROIC ajustado = NOPAT ajustado / Capital ajustado medio</t>
        </is>
      </c>
      <c r="B41" s="212" t="n"/>
      <c r="C41" s="212" t="n"/>
      <c r="D41" s="545">
        <f>D36/D40</f>
        <v/>
      </c>
      <c r="E41" s="545">
        <f>E36/E40</f>
        <v/>
      </c>
      <c r="F41" s="545">
        <f>F36/F40</f>
        <v/>
      </c>
      <c r="G41" s="545">
        <f>G36/G40</f>
        <v/>
      </c>
      <c r="H41" s="545">
        <f>H36/H40</f>
        <v/>
      </c>
      <c r="I41" s="545">
        <f>I36/I40</f>
        <v/>
      </c>
      <c r="J41" s="545">
        <f>J36/J40</f>
        <v/>
      </c>
      <c r="K41" s="545">
        <f>K36/K40</f>
        <v/>
      </c>
      <c r="L41" s="545">
        <f>L36/L40</f>
        <v/>
      </c>
      <c r="M41" s="545">
        <f>M36/M40</f>
        <v/>
      </c>
    </row>
    <row r="42" ht="15.75" customHeight="1" s="377" thickTop="1"/>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teamOn</dc:creator>
  <dc:language xmlns:dc="http://purl.org/dc/elements/1.1/">en-US</dc:language>
  <dcterms:created xmlns:dcterms="http://purl.org/dc/terms/" xmlns:xsi="http://www.w3.org/2001/XMLSchema-instance" xsi:type="dcterms:W3CDTF">2025-10-31T11:52:03Z</dcterms:created>
  <dcterms:modified xmlns:dcterms="http://purl.org/dc/terms/" xmlns:xsi="http://www.w3.org/2001/XMLSchema-instance" xsi:type="dcterms:W3CDTF">2026-10-16T12:12:43Z</dcterms:modified>
  <cp:lastModifiedBy>Jesús Vicens Noguer</cp:lastModifiedBy>
  <cp:revision>1</cp:revision>
</cp:coreProperties>
</file>